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hidden" name="Lot Acceptance Sheet - 5" sheetId="3" r:id="rId7"/>
    <sheet state="hidden" name="Lot Acceptance Sheet - 2" sheetId="4" r:id="rId8"/>
    <sheet state="hidden" name="Lot Acceptance Sheet - 3" sheetId="5" r:id="rId9"/>
    <sheet state="visible" name="LOTAR BDCS 446-07 - MC -  Lot 1" sheetId="6" r:id="rId10"/>
    <sheet state="visible" name="LOTAR BDCS 446-07 - MC -  Lot 2" sheetId="7" r:id="rId11"/>
    <sheet state="visible" name="LOTAR BDCS 446-07 - MC -  Lot 3" sheetId="8" r:id="rId12"/>
    <sheet state="visible" name="LOTAR BDCS 446-07 - MC -  Lot 4" sheetId="9" r:id="rId13"/>
    <sheet state="visible" name="LOTAR BDCS 446-07 - MC -  Lot 5" sheetId="10" r:id="rId14"/>
    <sheet state="visible" name="Sheet6" sheetId="11" r:id="rId15"/>
  </sheets>
  <definedNames/>
  <calcPr/>
</workbook>
</file>

<file path=xl/sharedStrings.xml><?xml version="1.0" encoding="utf-8"?>
<sst xmlns="http://schemas.openxmlformats.org/spreadsheetml/2006/main" count="948" uniqueCount="246">
  <si>
    <t>MAK 
ALTERNATE 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</si>
  <si>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</si>
  <si>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</si>
  <si>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</si>
  <si>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</si>
  <si>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</si>
  <si>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</si>
  <si>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</si>
  <si>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</si>
  <si>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</si>
  <si>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</si>
  <si>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</si>
  <si>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</si>
  <si>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</si>
  <si>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</si>
  <si>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</si>
  <si>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</si>
  <si>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</si>
  <si>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</si>
  <si>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</si>
  <si>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</si>
  <si>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LOTAR BDCS 446-07 - MC - </t>
  </si>
  <si>
    <t>Alpha</t>
  </si>
  <si>
    <t>Historic Approval</t>
  </si>
  <si>
    <t>Lot 1</t>
  </si>
  <si>
    <t>1Z75E0W36658726583</t>
  </si>
  <si>
    <t>Radina Petrova</t>
  </si>
  <si>
    <t>Submitted</t>
  </si>
  <si>
    <t>LOTAR BDCS 446-07 - MC -  Lot 1</t>
  </si>
  <si>
    <t>Lot 2</t>
  </si>
  <si>
    <t>1Z75E0W30458119015</t>
  </si>
  <si>
    <t>LOTAR BDCS 446-07 - MC -  Lot 2</t>
  </si>
  <si>
    <t>Lot 3</t>
  </si>
  <si>
    <t>1Z75E0W30458311520</t>
  </si>
  <si>
    <t>LOTAR BDCS 446-07 - MC -  Lot 3</t>
  </si>
  <si>
    <t>Lot 4</t>
  </si>
  <si>
    <t>1Z75E0W30460946091</t>
  </si>
  <si>
    <t>LOTAR BDCS 446-07 - MC -  Lot 4</t>
  </si>
  <si>
    <t>Lot 5</t>
  </si>
  <si>
    <t>1Z75E0W30460897528</t>
  </si>
  <si>
    <t>LOTAR BDCS 446-07 - MC -  Lot 5</t>
  </si>
  <si>
    <t>Lot 1.2</t>
  </si>
  <si>
    <t>1Z75E0W30474341815</t>
  </si>
  <si>
    <t>LOTAR BDCS 446-07 - MC -  Lot 1.2</t>
  </si>
  <si>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</si>
  <si>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</si>
  <si>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</si>
  <si>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</si>
  <si>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</si>
  <si>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</si>
  <si>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</si>
  <si>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</si>
  <si>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</si>
  <si>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</si>
  <si>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</si>
  <si>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</si>
  <si>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</si>
  <si>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</si>
  <si>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</si>
  <si>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</si>
  <si>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</si>
  <si>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</si>
  <si>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</si>
  <si>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</si>
  <si>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</si>
  <si>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</si>
  <si>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</si>
  <si>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</si>
  <si>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</si>
  <si>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</si>
  <si>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</si>
  <si>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</si>
  <si>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</si>
  <si>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</si>
  <si>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</si>
  <si>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</si>
  <si>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</si>
  <si>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</si>
  <si>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</si>
  <si>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</si>
  <si>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</si>
  <si>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</si>
  <si>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</si>
  <si>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</si>
  <si>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</si>
  <si>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</si>
  <si>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</si>
  <si>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</si>
  <si>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</si>
  <si>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</si>
  <si>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</si>
  <si>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</si>
  <si>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</si>
  <si>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</si>
  <si>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</si>
  <si>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</si>
  <si>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</si>
  <si>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</si>
  <si>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</si>
  <si>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</si>
  <si>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</si>
  <si>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</si>
  <si>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</si>
  <si>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</si>
  <si>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</si>
  <si>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</si>
  <si>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Mak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</si>
  <si>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</si>
  <si>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</si>
  <si>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</si>
  <si>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</si>
  <si>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1 - 1</t>
  </si>
  <si>
    <t>Cream 524</t>
  </si>
  <si>
    <t>4 - Slight</t>
  </si>
  <si>
    <t>Slightly dark and yellow</t>
  </si>
  <si>
    <t>Tan 525</t>
  </si>
  <si>
    <t>3 - Noticeable</t>
  </si>
  <si>
    <t>Dark and yellow</t>
  </si>
  <si>
    <t>Pale Green 526</t>
  </si>
  <si>
    <t>3-4 - Noticeable/Slight</t>
  </si>
  <si>
    <t>Red and yellow</t>
  </si>
  <si>
    <t>Olive 527</t>
  </si>
  <si>
    <t>Dark Green 528</t>
  </si>
  <si>
    <t>Dark</t>
  </si>
  <si>
    <t>Brown 529</t>
  </si>
  <si>
    <t>Yellow and red</t>
  </si>
  <si>
    <t>Dark Brown 530</t>
  </si>
  <si>
    <t>Yellow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</si>
  <si>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</si>
  <si>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</si>
  <si>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</si>
  <si>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</si>
  <si>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1 - 2</t>
  </si>
  <si>
    <r>
      <rPr>
        <rFont val="Arial"/>
        <color rgb="FF000000"/>
      </rPr>
      <t>Slightly dark and yellow</t>
    </r>
  </si>
  <si>
    <t>Dark, red and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</si>
  <si>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</si>
  <si>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</si>
  <si>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</si>
  <si>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</si>
  <si>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</si>
  <si>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</si>
  <si>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</si>
  <si>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</si>
  <si>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</si>
  <si>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</si>
  <si>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</si>
  <si>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</si>
  <si>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2 - 1</t>
  </si>
  <si>
    <t>Slightly too red and yellow</t>
  </si>
  <si>
    <t>Too yellow</t>
  </si>
  <si>
    <t>Too yellow and red</t>
  </si>
  <si>
    <t>Slightly red</t>
  </si>
  <si>
    <t>Too dark and yellow</t>
  </si>
  <si>
    <t>Dark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</si>
  <si>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</si>
  <si>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</si>
  <si>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</si>
  <si>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2 - 2</t>
  </si>
  <si>
    <t>Slightly dark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</si>
  <si>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</si>
  <si>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</si>
  <si>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</si>
  <si>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2 - 3</t>
  </si>
  <si>
    <t>Too red</t>
  </si>
  <si>
    <t>Too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</si>
  <si>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</si>
  <si>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</si>
  <si>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</si>
  <si>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</si>
  <si>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</si>
  <si>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</si>
  <si>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</si>
  <si>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</si>
  <si>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3 - 1</t>
  </si>
  <si>
    <t>Slightly yellow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</si>
  <si>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</si>
  <si>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</si>
  <si>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</si>
  <si>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</si>
  <si>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3 - 2</t>
  </si>
  <si>
    <t>Dark, yellow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</si>
  <si>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</si>
  <si>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</si>
  <si>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</si>
  <si>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</si>
  <si>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</si>
  <si>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</si>
  <si>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</si>
  <si>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</si>
  <si>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</si>
  <si>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</si>
  <si>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</si>
  <si>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</si>
  <si>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4 - 1</t>
  </si>
  <si>
    <t xml:space="preserve">Red </t>
  </si>
  <si>
    <r>
      <rPr>
        <rFont val="Calibri"/>
        <color theme="1"/>
        <sz val="11.0"/>
      </rPr>
      <t>PATTERN EXECUTION:</t>
    </r>
  </si>
  <si>
    <t>BORDERLINE- Excessive skew at right edge, pattern at angle; gradients end abruptly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</si>
  <si>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</si>
  <si>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</si>
  <si>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</si>
  <si>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</si>
  <si>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</si>
  <si>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</si>
  <si>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</si>
  <si>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</si>
  <si>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</si>
  <si>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</si>
  <si>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</si>
  <si>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</si>
  <si>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</si>
  <si>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</si>
  <si>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</si>
  <si>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5 - 1</t>
  </si>
  <si>
    <t>Dark, yellow,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</si>
  <si>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</si>
  <si>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</si>
  <si>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</si>
  <si>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</si>
  <si>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</si>
  <si>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</si>
  <si>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</si>
  <si>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</si>
  <si>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</si>
  <si>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</si>
  <si>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</si>
  <si>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</si>
  <si>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</si>
  <si>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</si>
  <si>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</si>
  <si>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</si>
  <si>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Lot 1.2 - 1</t>
  </si>
  <si>
    <t>Light &amp; Yellow</t>
  </si>
  <si>
    <r>
      <rPr>
        <rFont val="Calibri"/>
        <color theme="1"/>
        <sz val="11.0"/>
      </rPr>
      <t>PATTERN EXECUTION:</t>
    </r>
  </si>
  <si>
    <t>Green gradient ends a bit abruptly.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</si>
  <si>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</si>
  <si>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</si>
  <si>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1.2 - 2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</si>
  <si>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</si>
  <si>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</si>
  <si>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</si>
  <si>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</si>
  <si>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Lot 1.2 - 3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</si>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</sst>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mm/dd/yy"/>
    <numFmt numFmtId="167" formatCode="m/d/yy"/>
    <numFmt numFmtId="168" formatCode="m/d/yyyy"/>
  </numFmts>
  <fonts count="27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0" fillId="0" fontId="2" numFmtId="49" xfId="0" applyFont="1" applyNumberFormat="1"/>
    <xf borderId="2" fillId="5" fontId="20" numFmtId="0" xfId="0" applyAlignment="1" applyBorder="1" applyFill="1" applyFont="1">
      <alignment readingOrder="0" shrinkToFit="0" vertical="top" wrapText="1"/>
    </xf>
    <xf borderId="7" fillId="0" fontId="9" numFmtId="0" xfId="0" applyBorder="1" applyFont="1"/>
    <xf borderId="5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6" fillId="0" fontId="21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left" readingOrder="0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/>
    </xf>
    <xf borderId="4" fillId="0" fontId="2" numFmtId="0" xfId="0" applyBorder="1" applyFont="1"/>
    <xf borderId="6" fillId="0" fontId="7" numFmtId="49" xfId="0" applyAlignment="1" applyBorder="1" applyFont="1" applyNumberFormat="1">
      <alignment horizontal="right" vertical="top"/>
    </xf>
    <xf borderId="6" fillId="0" fontId="19" numFmtId="0" xfId="0" applyAlignment="1" applyBorder="1" applyFont="1">
      <alignment readingOrder="0" vertical="top"/>
    </xf>
    <xf borderId="5" fillId="5" fontId="21" numFmtId="0" xfId="0" applyAlignment="1" applyBorder="1" applyFont="1">
      <alignment shrinkToFit="0" vertical="top" wrapText="1"/>
    </xf>
    <xf borderId="6" fillId="5" fontId="21" numFmtId="0" xfId="0" applyAlignment="1" applyBorder="1" applyFont="1">
      <alignment shrinkToFit="0" vertical="top" wrapText="1"/>
    </xf>
    <xf borderId="2" fillId="5" fontId="21" numFmtId="0" xfId="0" applyAlignment="1" applyBorder="1" applyFont="1">
      <alignment horizontal="center" shrinkToFit="0" vertical="top" wrapText="1"/>
    </xf>
    <xf borderId="6" fillId="5" fontId="21" numFmtId="0" xfId="0" applyAlignment="1" applyBorder="1" applyFont="1">
      <alignment horizontal="center" shrinkToFit="0" vertical="top" wrapText="1"/>
    </xf>
    <xf borderId="5" fillId="6" fontId="22" numFmtId="0" xfId="0" applyAlignment="1" applyBorder="1" applyFill="1" applyFont="1">
      <alignment horizontal="right" readingOrder="0" shrinkToFit="0" vertical="top" wrapText="1"/>
    </xf>
    <xf borderId="6" fillId="6" fontId="22" numFmtId="0" xfId="0" applyAlignment="1" applyBorder="1" applyFont="1">
      <alignment horizontal="center" readingOrder="0" shrinkToFit="0" vertical="top" wrapText="1"/>
    </xf>
    <xf borderId="6" fillId="6" fontId="7" numFmtId="0" xfId="0" applyAlignment="1" applyBorder="1" applyFont="1">
      <alignment readingOrder="0" vertical="bottom"/>
    </xf>
    <xf borderId="4" fillId="6" fontId="2" numFmtId="0" xfId="0" applyBorder="1" applyFont="1"/>
    <xf borderId="1" fillId="2" fontId="23" numFmtId="0" xfId="0" applyBorder="1" applyFont="1"/>
    <xf borderId="8" fillId="6" fontId="7" numFmtId="0" xfId="0" applyAlignment="1" applyBorder="1" applyFont="1">
      <alignment readingOrder="0" vertical="top"/>
    </xf>
    <xf borderId="6" fillId="6" fontId="7" numFmtId="0" xfId="0" applyAlignment="1" applyBorder="1" applyFont="1">
      <alignment readingOrder="0" vertical="top"/>
    </xf>
    <xf borderId="8" fillId="0" fontId="9" numFmtId="0" xfId="0" applyBorder="1" applyFont="1"/>
    <xf borderId="1" fillId="6" fontId="22" numFmtId="0" xfId="0" applyAlignment="1" applyBorder="1" applyFont="1">
      <alignment horizontal="right" shrinkToFit="0" vertical="top" wrapText="1"/>
    </xf>
    <xf borderId="9" fillId="6" fontId="7" numFmtId="0" xfId="0" applyAlignment="1" applyBorder="1" applyFont="1">
      <alignment vertical="bottom"/>
    </xf>
    <xf borderId="3" fillId="6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5" fillId="6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0" fontId="22" numFmtId="0" xfId="0" applyAlignment="1" applyBorder="1" applyFont="1">
      <alignment horizontal="right" shrinkToFit="0" vertical="top" wrapText="1"/>
    </xf>
    <xf borderId="5" fillId="6" fontId="22" numFmtId="0" xfId="0" applyAlignment="1" applyBorder="1" applyFont="1">
      <alignment horizontal="right" shrinkToFit="0" vertical="top" wrapText="1"/>
    </xf>
    <xf borderId="10" fillId="6" fontId="7" numFmtId="0" xfId="0" applyBorder="1" applyFont="1"/>
    <xf borderId="1" fillId="2" fontId="24" numFmtId="0" xfId="0" applyBorder="1" applyFont="1"/>
    <xf borderId="11" fillId="5" fontId="21" numFmtId="0" xfId="0" applyAlignment="1" applyBorder="1" applyFont="1">
      <alignment readingOrder="0" shrinkToFit="0" vertical="top" wrapText="1"/>
    </xf>
    <xf borderId="4" fillId="5" fontId="21" numFmtId="0" xfId="0" applyAlignment="1" applyBorder="1" applyFont="1">
      <alignment horizontal="center" shrinkToFit="0" vertical="top" wrapText="1"/>
    </xf>
    <xf borderId="1" fillId="5" fontId="21" numFmtId="0" xfId="0" applyAlignment="1" applyBorder="1" applyFont="1">
      <alignment horizontal="center" shrinkToFit="0" vertical="top" wrapText="1"/>
    </xf>
    <xf borderId="11" fillId="0" fontId="25" numFmtId="0" xfId="0" applyAlignment="1" applyBorder="1" applyFont="1">
      <alignment readingOrder="0" shrinkToFit="0" vertical="bottom" wrapText="1"/>
    </xf>
    <xf borderId="2" fillId="5" fontId="20" numFmtId="0" xfId="0" applyAlignment="1" applyBorder="1" applyFont="1">
      <alignment horizontal="right" readingOrder="0" shrinkToFit="0" vertical="top" wrapText="1"/>
    </xf>
    <xf borderId="5" fillId="0" fontId="21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right" shrinkToFit="0" vertical="top" wrapText="1"/>
    </xf>
    <xf borderId="1" fillId="0" fontId="21" numFmtId="0" xfId="0" applyAlignment="1" applyBorder="1" applyFont="1">
      <alignment horizontal="right" readingOrder="0" shrinkToFit="0" vertical="top" wrapText="1"/>
    </xf>
    <xf borderId="4" fillId="0" fontId="22" numFmtId="0" xfId="0" applyAlignment="1" applyBorder="1" applyFont="1">
      <alignment horizontal="right" readingOrder="0" shrinkToFit="0" vertical="top" wrapText="1"/>
    </xf>
    <xf borderId="4" fillId="0" fontId="2" numFmtId="0" xfId="0" applyAlignment="1" applyBorder="1" applyFont="1">
      <alignment horizontal="right"/>
    </xf>
    <xf borderId="5" fillId="5" fontId="21" numFmtId="0" xfId="0" applyAlignment="1" applyBorder="1" applyFont="1">
      <alignment horizontal="right" shrinkToFit="0" vertical="top" wrapText="1"/>
    </xf>
    <xf borderId="6" fillId="6" fontId="22" numFmtId="0" xfId="0" applyAlignment="1" applyBorder="1" applyFont="1">
      <alignment horizontal="right" readingOrder="0" shrinkToFit="0" vertical="top" wrapText="1"/>
    </xf>
    <xf borderId="8" fillId="6" fontId="7" numFmtId="0" xfId="0" applyAlignment="1" applyBorder="1" applyFont="1">
      <alignment horizontal="right" readingOrder="0" vertical="top"/>
    </xf>
    <xf borderId="6" fillId="6" fontId="7" numFmtId="0" xfId="0" applyAlignment="1" applyBorder="1" applyFont="1">
      <alignment horizontal="right" readingOrder="0" vertical="top"/>
    </xf>
    <xf borderId="3" fillId="6" fontId="7" numFmtId="0" xfId="0" applyAlignment="1" applyBorder="1" applyFont="1">
      <alignment readingOrder="0" vertical="bottom"/>
    </xf>
    <xf borderId="1" fillId="0" fontId="26" numFmtId="0" xfId="0" applyAlignment="1" applyBorder="1" applyFont="1">
      <alignment horizontal="left"/>
    </xf>
    <xf borderId="8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top"/>
    </xf>
    <xf borderId="10" fillId="0" fontId="7" numFmtId="0" xfId="0" applyBorder="1" applyFont="1"/>
    <xf borderId="11" fillId="5" fontId="21" numFmtId="0" xfId="0" applyAlignment="1" applyBorder="1" applyFont="1">
      <alignment horizontal="right" readingOrder="0" shrinkToFit="0" vertical="top" wrapText="1"/>
    </xf>
    <xf borderId="11" fillId="0" fontId="25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6" fillId="0" fontId="7" numFmtId="0" xfId="0" applyAlignment="1" applyBorder="1" applyFont="1">
      <alignment horizontal="right" readingOrder="0" vertical="bottom"/>
    </xf>
    <xf borderId="6" fillId="0" fontId="7" numFmtId="0" xfId="0" applyAlignment="1" applyBorder="1" applyFont="1">
      <alignment horizontal="right" readingOrder="0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14" xfId="0" applyAlignment="1" applyBorder="1" applyFont="1" applyNumberFormat="1">
      <alignment horizontal="right" readingOrder="0" vertical="top"/>
    </xf>
    <xf borderId="6" fillId="0" fontId="7" numFmtId="0" xfId="0" applyAlignment="1" applyBorder="1" applyFont="1">
      <alignment horizontal="right" readingOrder="0" vertical="bottom"/>
    </xf>
    <xf borderId="4" fillId="6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6" fillId="0" fontId="2" numFmtId="0" xfId="0" applyBorder="1" applyFont="1"/>
    <xf borderId="4" fillId="0" fontId="2" numFmtId="0" xfId="0" applyAlignment="1" applyBorder="1" applyFont="1">
      <alignment readingOrder="0"/>
    </xf>
    <xf borderId="4" fillId="7" fontId="2" numFmtId="0" xfId="0" applyAlignment="1" applyBorder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25</xdr:row>
      <xdr:rowOff>171450</xdr:rowOff>
    </xdr:from>
    <xdr:ext cx="1152525" cy="285750"/>
    <xdr:sp>
      <xdr:nvSpPr>
        <xdr:cNvPr id="6" name="Shape 6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IFERROR(__xludf.DUMMYFUNCTION("ImportRange(""1FACJ2GWxDApA45qcKsmOlNfKDg28skQobe4xLDRVhvc"",""FirstArticleSummary!B4:B"")"),"443002 - MC")</f>
        <v>443002 - MC</v>
      </c>
      <c r="B1" s="2" t="str">
        <f>IFERROR(__xludf.DUMMYFUNCTION("ImportRange(""1FACJ2GWxDApA45qcKsmOlNfKDg28skQobe4xLDRVhvc"",""FirstArticleSummary!C4:C"")"),"MultiCam®")</f>
        <v>MultiCam®</v>
      </c>
      <c r="C1" s="2" t="str">
        <f t="shared" ref="C1:C1000" si="1">CONCATENATE(A1," ",B1)</f>
        <v>443002 - MC MultiCam®</v>
      </c>
      <c r="D1" s="3" t="str">
        <f>IFERROR(__xludf.DUMMYFUNCTION("ImportRange(""1Cyjltf2DwZMUNXRdT4U9srkKXuPuQu5MtIKQW-rm7aM"",""DATA!A:A"")"),"")</f>
        <v/>
      </c>
      <c r="E1" s="2" t="str">
        <f>IFERROR(__xludf.DUMMYFUNCTION("ImportRange(""172pjS10w9I4P8bdLSplS1vRdveKgIrC3k2EaO5Y2UQQ"",""DATA!A:A"")"),"")</f>
        <v/>
      </c>
      <c r="F1" s="2" t="str">
        <f>IFERROR(__xludf.DUMMYFUNCTION("UNIQUE(FLATTEN({D:D; E:E}))"),"")</f>
        <v/>
      </c>
      <c r="G1" s="4" t="str">
        <f>IFERROR(__xludf.DUMMYFUNCTION("ARRAYFORMULA(IF(INDEX(ARRAYFORMULA(CONDITIONAL_FORMAT_RULES(IMPORTRANGE(""FirstArticleSummary!N4:N""))), 1, 1) = ""green"", IMPORTRANGE(""1FACJ2GWxDApA45qcKsmOlNfKDg28skQobe4xLDRVhvc"", ""DATA!A:A""), """"))"),"#NAME?")</f>
        <v>#NAME?</v>
      </c>
    </row>
    <row r="2">
      <c r="A2" s="1" t="str">
        <f>IFERROR(__xludf.DUMMYFUNCTION("""COMPUTED_VALUE"""),"Shadow")</f>
        <v>Shadow</v>
      </c>
      <c r="B2" s="2" t="str">
        <f>IFERROR(__xludf.DUMMYFUNCTION("""COMPUTED_VALUE"""),"MultiCam®")</f>
        <v>MultiCam®</v>
      </c>
      <c r="C2" s="2" t="str">
        <f t="shared" si="1"/>
        <v>Shadow MultiCam®</v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/>
    </row>
    <row r="3">
      <c r="A3" s="2" t="str">
        <f>IFERROR(__xludf.DUMMYFUNCTION("""COMPUTED_VALUE"""),"W-1035")</f>
        <v>W-1035</v>
      </c>
      <c r="B3" s="2" t="str">
        <f>IFERROR(__xludf.DUMMYFUNCTION("""COMPUTED_VALUE"""),"MultiCam®")</f>
        <v>MultiCam®</v>
      </c>
      <c r="C3" s="2" t="str">
        <f t="shared" si="1"/>
        <v>W-1035 MultiCam®</v>
      </c>
      <c r="D3" s="2" t="str">
        <f>IFERROR(__xludf.DUMMYFUNCTION("""COMPUTED_VALUE"""),"")</f>
        <v/>
      </c>
      <c r="E3" s="2" t="str">
        <f>IFERROR(__xludf.DUMMYFUNCTION("""COMPUTED_VALUE"""),"")</f>
        <v/>
      </c>
      <c r="F3" s="2" t="str">
        <f>IFERROR(__xludf.DUMMYFUNCTION("""COMPUTED_VALUE"""),"VTX MultiCam - MC - ")</f>
        <v>VTX MultiCam - MC - </v>
      </c>
    </row>
    <row r="4">
      <c r="A4" s="2" t="str">
        <f>IFERROR(__xludf.DUMMYFUNCTION("""COMPUTED_VALUE"""),"W-1035")</f>
        <v>W-1035</v>
      </c>
      <c r="B4" s="2" t="str">
        <f>IFERROR(__xludf.DUMMYFUNCTION("""COMPUTED_VALUE"""),"MultiCam®")</f>
        <v>MultiCam®</v>
      </c>
      <c r="C4" s="2" t="str">
        <f t="shared" si="1"/>
        <v>W-1035 MultiCam®</v>
      </c>
      <c r="D4" s="2" t="str">
        <f>IFERROR(__xludf.DUMMYFUNCTION("""COMPUTED_VALUE"""),"")</f>
        <v/>
      </c>
      <c r="E4" s="2" t="str">
        <f>IFERROR(__xludf.DUMMYFUNCTION("""COMPUTED_VALUE"""),"VTX MultiCam - MC - ")</f>
        <v>VTX MultiCam - MC - </v>
      </c>
      <c r="F4" s="2" t="str">
        <f>IFERROR(__xludf.DUMMYFUNCTION("""COMPUTED_VALUE"""),"LOTAR BDCS 446-07 - MC - ")</f>
        <v>LOTAR BDCS 446-07 - MC - </v>
      </c>
    </row>
    <row r="5">
      <c r="A5" s="2" t="str">
        <f>IFERROR(__xludf.DUMMYFUNCTION("""COMPUTED_VALUE"""),"500D Cordura(r) ITMP(R) DWR")</f>
        <v>500D Cordura(r) ITMP(R) DWR</v>
      </c>
      <c r="B5" s="2" t="str">
        <f>IFERROR(__xludf.DUMMYFUNCTION("""COMPUTED_VALUE"""),"Irish Transitional MultiCam Pattern (ITMP)")</f>
        <v>Irish Transitional MultiCam Pattern (ITMP)</v>
      </c>
      <c r="C5" s="2" t="str">
        <f t="shared" si="1"/>
        <v>500D Cordura(r) ITMP(R) DWR Irish Transitional MultiCam Pattern (ITMP)</v>
      </c>
      <c r="D5" s="2" t="str">
        <f>IFERROR(__xludf.DUMMYFUNCTION("""COMPUTED_VALUE"""),"")</f>
        <v/>
      </c>
      <c r="E5" s="2" t="str">
        <f>IFERROR(__xludf.DUMMYFUNCTION("""COMPUTED_VALUE"""),"LOTAR BDCS 446-07 - MC - ")</f>
        <v>LOTAR BDCS 446-07 - MC - </v>
      </c>
      <c r="F5" s="2" t="str">
        <f>IFERROR(__xludf.DUMMYFUNCTION("""COMPUTED_VALUE"""),"Highloft BDCS Multicam - MC - Lot 743")</f>
        <v>Highloft BDCS Multicam - MC - Lot 743</v>
      </c>
    </row>
    <row r="6">
      <c r="A6" s="2" t="str">
        <f>IFERROR(__xludf.DUMMYFUNCTION("""COMPUTED_VALUE"""),"500D Cordura(r) ITMP(r) DWR + FR")</f>
        <v>500D Cordura(r) ITMP(r) DWR + FR</v>
      </c>
      <c r="B6" s="2" t="str">
        <f>IFERROR(__xludf.DUMMYFUNCTION("""COMPUTED_VALUE"""),"Irish Transitional MultiCam Pattern (ITMP)")</f>
        <v>Irish Transitional MultiCam Pattern (ITMP)</v>
      </c>
      <c r="C6" s="2" t="str">
        <f t="shared" si="1"/>
        <v>500D Cordura(r) ITMP(r) DWR + FR Irish Transitional MultiCam Pattern (ITMP)</v>
      </c>
      <c r="D6" s="2" t="str">
        <f>IFERROR(__xludf.DUMMYFUNCTION("""COMPUTED_VALUE"""),"")</f>
        <v/>
      </c>
      <c r="E6" s="2" t="str">
        <f>IFERROR(__xludf.DUMMYFUNCTION("""COMPUTED_VALUE"""),"Highloft BDCS Multicam - MC - Lot 743")</f>
        <v>Highloft BDCS Multicam - MC - Lot 743</v>
      </c>
    </row>
    <row r="7">
      <c r="A7" s="2" t="str">
        <f>IFERROR(__xludf.DUMMYFUNCTION("""COMPUTED_VALUE"""),"W-0936 NYCO Rigid MultiCam(R) TROPIC 9/23/2025")</f>
        <v>W-0936 NYCO Rigid MultiCam(R) TROPIC 9/23/2025</v>
      </c>
      <c r="B7" s="2" t="str">
        <f>IFERROR(__xludf.DUMMYFUNCTION("""COMPUTED_VALUE"""),"MultiCam® Tropic")</f>
        <v>MultiCam® Tropic</v>
      </c>
      <c r="C7" s="2" t="str">
        <f t="shared" si="1"/>
        <v>W-0936 NYCO Rigid MultiCam(R) TROPIC 9/23/2025 MultiCam® Tropic</v>
      </c>
      <c r="D7" s="2" t="str">
        <f>IFERROR(__xludf.DUMMYFUNCTION("""COMPUTED_VALUE"""),"")</f>
        <v/>
      </c>
      <c r="E7" s="2" t="str">
        <f>IFERROR(__xludf.DUMMYFUNCTION("""COMPUTED_VALUE"""),"")</f>
        <v/>
      </c>
    </row>
    <row r="8">
      <c r="A8" s="2" t="str">
        <f>IFERROR(__xludf.DUMMYFUNCTION("""COMPUTED_VALUE"""),"W-0936 NYCO Rigid MC")</f>
        <v>W-0936 NYCO Rigid MC</v>
      </c>
      <c r="B8" s="2" t="str">
        <f>IFERROR(__xludf.DUMMYFUNCTION("""COMPUTED_VALUE"""),"MultiCam®")</f>
        <v>MultiCam®</v>
      </c>
      <c r="C8" s="2" t="str">
        <f t="shared" si="1"/>
        <v>W-0936 NYCO Rigid MC MultiCam®</v>
      </c>
      <c r="D8" s="2" t="str">
        <f>IFERROR(__xludf.DUMMYFUNCTION("""COMPUTED_VALUE"""),"")</f>
        <v/>
      </c>
      <c r="E8" s="2" t="str">
        <f>IFERROR(__xludf.DUMMYFUNCTION("""COMPUTED_VALUE"""),"")</f>
        <v/>
      </c>
    </row>
    <row r="9">
      <c r="A9" s="2"/>
      <c r="B9" s="2"/>
      <c r="C9" s="2" t="str">
        <f t="shared" si="1"/>
        <v> </v>
      </c>
      <c r="D9" s="2" t="str">
        <f>IFERROR(__xludf.DUMMYFUNCTION("""COMPUTED_VALUE"""),"")</f>
        <v/>
      </c>
      <c r="E9" s="2" t="str">
        <f>IFERROR(__xludf.DUMMYFUNCTION("""COMPUTED_VALUE"""),"")</f>
        <v/>
      </c>
    </row>
    <row r="10">
      <c r="A10" s="2"/>
      <c r="B10" s="2" t="str">
        <f>IFERROR(__xludf.DUMMYFUNCTION("""COMPUTED_VALUE"""),"MultiCam®")</f>
        <v>MultiCam®</v>
      </c>
      <c r="C10" s="2" t="str">
        <f t="shared" si="1"/>
        <v> MultiCam®</v>
      </c>
      <c r="D10" s="2" t="str">
        <f>IFERROR(__xludf.DUMMYFUNCTION("""COMPUTED_VALUE"""),"")</f>
        <v/>
      </c>
      <c r="E10" s="2" t="str">
        <f>IFERROR(__xludf.DUMMYFUNCTION("""COMPUTED_VALUE"""),"")</f>
        <v/>
      </c>
    </row>
    <row r="11">
      <c r="A11" s="2"/>
      <c r="B11" s="2"/>
      <c r="C11" s="2" t="str">
        <f t="shared" si="1"/>
        <v> </v>
      </c>
      <c r="D11" s="2" t="str">
        <f>IFERROR(__xludf.DUMMYFUNCTION("""COMPUTED_VALUE"""),"")</f>
        <v/>
      </c>
      <c r="E11" s="2" t="str">
        <f>IFERROR(__xludf.DUMMYFUNCTION("""COMPUTED_VALUE"""),"")</f>
        <v/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  <c r="E12" s="2" t="str">
        <f>IFERROR(__xludf.DUMMYFUNCTION("""COMPUTED_VALUE"""),"")</f>
        <v/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  <c r="E13" s="2" t="str">
        <f>IFERROR(__xludf.DUMMYFUNCTION("""COMPUTED_VALUE"""),"")</f>
        <v/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  <c r="E14" s="2" t="str">
        <f>IFERROR(__xludf.DUMMYFUNCTION("""COMPUTED_VALUE"""),"")</f>
        <v/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  <c r="E15" s="2" t="str">
        <f>IFERROR(__xludf.DUMMYFUNCTION("""COMPUTED_VALUE"""),"")</f>
        <v/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  <c r="E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  <c r="E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  <c r="E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  <c r="E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  <c r="E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  <c r="E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  <c r="E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  <c r="E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  <c r="E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  <c r="E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  <c r="E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  <c r="E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  <c r="E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  <c r="E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  <c r="E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  <c r="E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  <c r="E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  <c r="E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  <c r="E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  <c r="E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  <c r="E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  <c r="E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  <c r="E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  <c r="E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  <c r="E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  <c r="E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  <c r="E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  <c r="E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  <c r="E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  <c r="E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  <c r="E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  <c r="E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  <c r="E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  <c r="E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  <c r="E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  <c r="E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  <c r="E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  <c r="E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  <c r="E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  <c r="E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  <c r="E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  <c r="E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  <c r="E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  <c r="E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  <c r="E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  <c r="E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  <c r="E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  <c r="E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  <c r="E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  <c r="E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  <c r="E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  <c r="E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  <c r="E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  <c r="E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  <c r="E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  <c r="E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  <c r="E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  <c r="E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  <c r="E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  <c r="E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  <c r="E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  <c r="E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  <c r="E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  <c r="E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  <c r="E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  <c r="E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  <c r="E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  <c r="E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  <c r="E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  <c r="E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  <c r="E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  <c r="E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  <c r="E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  <c r="E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  <c r="E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  <c r="E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  <c r="E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  <c r="E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  <c r="E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  <c r="E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  <c r="E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  <c r="E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  <c r="E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  <c r="E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  <c r="E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  <c r="E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  <c r="E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  <c r="E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  <c r="E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  <c r="E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  <c r="E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  <c r="E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  <c r="E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  <c r="E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  <c r="E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  <c r="E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  <c r="E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  <c r="E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  <c r="E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  <c r="E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  <c r="E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  <c r="E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  <c r="E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  <c r="E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  <c r="E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  <c r="E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  <c r="E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  <c r="E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  <c r="E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  <c r="E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  <c r="E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  <c r="E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  <c r="E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  <c r="E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  <c r="E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  <c r="E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  <c r="E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  <c r="E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  <c r="E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  <c r="E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  <c r="E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  <c r="E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  <c r="E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  <c r="E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  <c r="E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  <c r="E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  <c r="E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  <c r="E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  <c r="E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  <c r="E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  <c r="E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  <c r="E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  <c r="E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  <c r="E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  <c r="E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  <c r="E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  <c r="E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  <c r="E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  <c r="E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  <c r="E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  <c r="E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  <c r="E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  <c r="E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  <c r="E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  <c r="E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  <c r="E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  <c r="E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  <c r="E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  <c r="E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  <c r="E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  <c r="E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  <c r="E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  <c r="E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  <c r="E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  <c r="E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  <c r="E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  <c r="E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  <c r="E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  <c r="E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  <c r="E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  <c r="E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  <c r="E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  <c r="E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  <c r="E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  <c r="E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  <c r="E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  <c r="E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  <c r="E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  <c r="E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  <c r="E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  <c r="E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  <c r="E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  <c r="E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  <c r="E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  <c r="E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  <c r="E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  <c r="E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  <c r="E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  <c r="E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  <c r="E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  <c r="E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  <c r="E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  <c r="E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  <c r="E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  <c r="E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  <c r="E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  <c r="E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  <c r="E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  <c r="E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  <c r="E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  <c r="E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  <c r="E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  <c r="E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  <c r="E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  <c r="E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  <c r="E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  <c r="E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  <c r="E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  <c r="E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  <c r="E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  <c r="E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  <c r="E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  <c r="E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  <c r="E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  <c r="E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  <c r="E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  <c r="E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  <c r="E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  <c r="E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  <c r="E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  <c r="E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  <c r="E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  <c r="E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  <c r="E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  <c r="E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  <c r="E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  <c r="E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  <c r="E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  <c r="E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  <c r="E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  <c r="E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  <c r="E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  <c r="E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  <c r="E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  <c r="E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  <c r="E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  <c r="E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  <c r="E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  <c r="E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  <c r="E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  <c r="E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  <c r="E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  <c r="E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  <c r="E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  <c r="E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  <c r="E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  <c r="E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  <c r="E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  <c r="E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  <c r="E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  <c r="E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  <c r="E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  <c r="E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  <c r="E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  <c r="E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  <c r="E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  <c r="E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  <c r="E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  <c r="E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  <c r="E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  <c r="E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  <c r="E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  <c r="E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  <c r="E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  <c r="E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  <c r="E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  <c r="E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  <c r="E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  <c r="E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  <c r="E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  <c r="E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  <c r="E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  <c r="E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  <c r="E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  <c r="E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  <c r="E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  <c r="E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  <c r="E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  <c r="E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  <c r="E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  <c r="E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  <c r="E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  <c r="E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  <c r="E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  <c r="E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  <c r="E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  <c r="E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  <c r="E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  <c r="E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  <c r="E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  <c r="E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  <c r="E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  <c r="E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  <c r="E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  <c r="E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  <c r="E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  <c r="E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  <c r="E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  <c r="E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  <c r="E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  <c r="E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  <c r="E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  <c r="E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  <c r="E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  <c r="E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  <c r="E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  <c r="E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  <c r="E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  <c r="E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  <c r="E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  <c r="E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  <c r="E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  <c r="E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  <c r="E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  <c r="E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  <c r="E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  <c r="E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  <c r="E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  <c r="E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  <c r="E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  <c r="E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  <c r="E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  <c r="E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  <c r="E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  <c r="E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  <c r="E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  <c r="E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  <c r="E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  <c r="E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  <c r="E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  <c r="E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  <c r="E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  <c r="E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  <c r="E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  <c r="E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  <c r="E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  <c r="E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  <c r="E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  <c r="E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  <c r="E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  <c r="E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  <c r="E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  <c r="E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  <c r="E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  <c r="E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  <c r="E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  <c r="E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  <c r="E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  <c r="E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  <c r="E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  <c r="E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  <c r="E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  <c r="E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  <c r="E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  <c r="E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  <c r="E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  <c r="E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  <c r="E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  <c r="E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  <c r="E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  <c r="E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  <c r="E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  <c r="E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  <c r="E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  <c r="E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  <c r="E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  <c r="E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  <c r="E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  <c r="E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  <c r="E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  <c r="E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  <c r="E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  <c r="E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  <c r="E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  <c r="E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  <c r="E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  <c r="E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  <c r="E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  <c r="E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  <c r="E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  <c r="E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  <c r="E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  <c r="E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  <c r="E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  <c r="E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  <c r="E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  <c r="E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  <c r="E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  <c r="E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  <c r="E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  <c r="E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  <c r="E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  <c r="E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  <c r="E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  <c r="E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  <c r="E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  <c r="E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  <c r="E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  <c r="E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  <c r="E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  <c r="E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  <c r="E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  <c r="E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  <c r="E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  <c r="E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  <c r="E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  <c r="E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  <c r="E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  <c r="E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  <c r="E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  <c r="E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  <c r="E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  <c r="E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  <c r="E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  <c r="E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  <c r="E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  <c r="E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  <c r="E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  <c r="E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  <c r="E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  <c r="E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  <c r="E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  <c r="E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  <c r="E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  <c r="E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  <c r="E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  <c r="E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  <c r="E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  <c r="E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  <c r="E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  <c r="E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  <c r="E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  <c r="E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  <c r="E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  <c r="E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  <c r="E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  <c r="E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  <c r="E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  <c r="E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  <c r="E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  <c r="E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  <c r="E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  <c r="E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  <c r="E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  <c r="E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  <c r="E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  <c r="E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  <c r="E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  <c r="E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  <c r="E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  <c r="E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  <c r="E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  <c r="E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  <c r="E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  <c r="E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  <c r="E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  <c r="E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  <c r="E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  <c r="E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  <c r="E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  <c r="E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  <c r="E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  <c r="E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  <c r="E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  <c r="E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  <c r="E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  <c r="E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  <c r="E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  <c r="E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  <c r="E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  <c r="E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  <c r="E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  <c r="E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  <c r="E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  <c r="E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  <c r="E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  <c r="E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  <c r="E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  <c r="E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  <c r="E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  <c r="E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  <c r="E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  <c r="E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  <c r="E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  <c r="E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  <c r="E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  <c r="E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  <c r="E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  <c r="E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  <c r="E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  <c r="E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  <c r="E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  <c r="E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  <c r="E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  <c r="E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  <c r="E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  <c r="E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  <c r="E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  <c r="E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  <c r="E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  <c r="E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  <c r="E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  <c r="E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  <c r="E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  <c r="E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  <c r="E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  <c r="E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  <c r="E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  <c r="E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  <c r="E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  <c r="E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  <c r="E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  <c r="E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  <c r="E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  <c r="E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  <c r="E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  <c r="E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  <c r="E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  <c r="E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  <c r="E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  <c r="E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  <c r="E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  <c r="E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  <c r="E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  <c r="E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  <c r="E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  <c r="E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  <c r="E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  <c r="E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  <c r="E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  <c r="E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  <c r="E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  <c r="E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  <c r="E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  <c r="E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  <c r="E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  <c r="E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  <c r="E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  <c r="E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  <c r="E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  <c r="E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  <c r="E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  <c r="E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  <c r="E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  <c r="E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  <c r="E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  <c r="E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  <c r="E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  <c r="E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  <c r="E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  <c r="E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  <c r="E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  <c r="E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  <c r="E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  <c r="E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  <c r="E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  <c r="E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  <c r="E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  <c r="E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  <c r="E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  <c r="E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  <c r="E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  <c r="E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  <c r="E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  <c r="E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  <c r="E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  <c r="E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  <c r="E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  <c r="E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  <c r="E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  <c r="E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  <c r="E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  <c r="E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  <c r="E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  <c r="E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  <c r="E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  <c r="E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  <c r="E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  <c r="E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  <c r="E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  <c r="E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  <c r="E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  <c r="E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  <c r="E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  <c r="E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  <c r="E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  <c r="E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  <c r="E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  <c r="E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  <c r="E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  <c r="E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  <c r="E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  <c r="E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  <c r="E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  <c r="E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  <c r="E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  <c r="E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  <c r="E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  <c r="E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  <c r="E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  <c r="E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  <c r="E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  <c r="E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  <c r="E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  <c r="E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  <c r="E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  <c r="E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  <c r="E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  <c r="E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  <c r="E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  <c r="E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  <c r="E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  <c r="E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  <c r="E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  <c r="E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  <c r="E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  <c r="E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  <c r="E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  <c r="E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  <c r="E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  <c r="E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  <c r="E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  <c r="E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  <c r="E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  <c r="E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  <c r="E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  <c r="E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  <c r="E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  <c r="E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  <c r="E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  <c r="E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  <c r="E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  <c r="E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  <c r="E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  <c r="E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  <c r="E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  <c r="E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  <c r="E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  <c r="E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  <c r="E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  <c r="E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  <c r="E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  <c r="E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  <c r="E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  <c r="E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  <c r="E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  <c r="E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  <c r="E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  <c r="E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  <c r="E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  <c r="E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  <c r="E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  <c r="E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  <c r="E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  <c r="E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  <c r="E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  <c r="E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  <c r="E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  <c r="E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  <c r="E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  <c r="E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  <c r="E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  <c r="E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  <c r="E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  <c r="E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  <c r="E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  <c r="E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  <c r="E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  <c r="E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  <c r="E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  <c r="E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  <c r="E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  <c r="E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  <c r="E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  <c r="E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  <c r="E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  <c r="E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  <c r="E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  <c r="E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  <c r="E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  <c r="E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  <c r="E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  <c r="E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  <c r="E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  <c r="E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  <c r="E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  <c r="E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  <c r="E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  <c r="E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  <c r="E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  <c r="E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  <c r="E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  <c r="E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  <c r="E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  <c r="E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  <c r="E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  <c r="E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  <c r="E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  <c r="E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  <c r="E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  <c r="E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  <c r="E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  <c r="E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  <c r="E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  <c r="E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  <c r="E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  <c r="E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  <c r="E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  <c r="E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  <c r="E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  <c r="E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  <c r="E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  <c r="E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  <c r="E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  <c r="E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  <c r="E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  <c r="E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  <c r="E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  <c r="E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  <c r="E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  <c r="E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  <c r="E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  <c r="E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  <c r="E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  <c r="E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  <c r="E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  <c r="E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  <c r="E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  <c r="E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  <c r="E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  <c r="E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  <c r="E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  <c r="E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  <c r="E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  <c r="E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  <c r="E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  <c r="E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  <c r="E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  <c r="E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  <c r="E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  <c r="E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  <c r="E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  <c r="E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  <c r="E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  <c r="E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  <c r="E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  <c r="E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  <c r="E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  <c r="E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  <c r="E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  <c r="E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  <c r="E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  <c r="E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  <c r="E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  <c r="E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  <c r="E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  <c r="E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  <c r="E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  <c r="E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  <c r="E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  <c r="E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  <c r="E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  <c r="E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  <c r="E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  <c r="E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  <c r="E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  <c r="E772" s="2" t="str">
        <f>IFERROR(__xludf.DUMMYFUNCTION("""COMPUTED_VALUE"""),"")</f>
        <v/>
      </c>
    </row>
    <row r="773">
      <c r="C773" s="2" t="str">
        <f t="shared" si="1"/>
        <v> </v>
      </c>
      <c r="D773" s="2" t="str">
        <f>IFERROR(__xludf.DUMMYFUNCTION("""COMPUTED_VALUE"""),"")</f>
        <v/>
      </c>
      <c r="E773" s="2" t="str">
        <f>IFERROR(__xludf.DUMMYFUNCTION("""COMPUTED_VALUE"""),"")</f>
        <v/>
      </c>
    </row>
    <row r="774">
      <c r="C774" s="2" t="str">
        <f t="shared" si="1"/>
        <v> </v>
      </c>
      <c r="D774" s="2" t="str">
        <f>IFERROR(__xludf.DUMMYFUNCTION("""COMPUTED_VALUE"""),"")</f>
        <v/>
      </c>
      <c r="E774" s="2" t="str">
        <f>IFERROR(__xludf.DUMMYFUNCTION("""COMPUTED_VALUE"""),"")</f>
        <v/>
      </c>
    </row>
    <row r="775">
      <c r="C775" s="2" t="str">
        <f t="shared" si="1"/>
        <v> </v>
      </c>
      <c r="D775" s="2" t="str">
        <f>IFERROR(__xludf.DUMMYFUNCTION("""COMPUTED_VALUE"""),"")</f>
        <v/>
      </c>
      <c r="E775" s="2" t="str">
        <f>IFERROR(__xludf.DUMMYFUNCTION("""COMPUTED_VALUE"""),"")</f>
        <v/>
      </c>
    </row>
    <row r="776">
      <c r="C776" s="2" t="str">
        <f t="shared" si="1"/>
        <v> </v>
      </c>
      <c r="D776" s="2" t="str">
        <f>IFERROR(__xludf.DUMMYFUNCTION("""COMPUTED_VALUE"""),"")</f>
        <v/>
      </c>
      <c r="E776" s="2" t="str">
        <f>IFERROR(__xludf.DUMMYFUNCTION("""COMPUTED_VALUE"""),"")</f>
        <v/>
      </c>
    </row>
    <row r="777">
      <c r="C777" s="2" t="str">
        <f t="shared" si="1"/>
        <v> </v>
      </c>
      <c r="D777" s="2" t="str">
        <f>IFERROR(__xludf.DUMMYFUNCTION("""COMPUTED_VALUE"""),"")</f>
        <v/>
      </c>
      <c r="E777" s="2" t="str">
        <f>IFERROR(__xludf.DUMMYFUNCTION("""COMPUTED_VALUE"""),"")</f>
        <v/>
      </c>
    </row>
    <row r="778">
      <c r="C778" s="2" t="str">
        <f t="shared" si="1"/>
        <v> </v>
      </c>
      <c r="D778" s="2" t="str">
        <f>IFERROR(__xludf.DUMMYFUNCTION("""COMPUTED_VALUE"""),"")</f>
        <v/>
      </c>
      <c r="E778" s="2" t="str">
        <f>IFERROR(__xludf.DUMMYFUNCTION("""COMPUTED_VALUE"""),"")</f>
        <v/>
      </c>
    </row>
    <row r="779">
      <c r="C779" s="2" t="str">
        <f t="shared" si="1"/>
        <v> </v>
      </c>
      <c r="D779" s="2" t="str">
        <f>IFERROR(__xludf.DUMMYFUNCTION("""COMPUTED_VALUE"""),"")</f>
        <v/>
      </c>
      <c r="E779" s="2" t="str">
        <f>IFERROR(__xludf.DUMMYFUNCTION("""COMPUTED_VALUE"""),"")</f>
        <v/>
      </c>
    </row>
    <row r="780">
      <c r="C780" s="2" t="str">
        <f t="shared" si="1"/>
        <v> </v>
      </c>
      <c r="D780" s="2" t="str">
        <f>IFERROR(__xludf.DUMMYFUNCTION("""COMPUTED_VALUE"""),"")</f>
        <v/>
      </c>
      <c r="E780" s="2" t="str">
        <f>IFERROR(__xludf.DUMMYFUNCTION("""COMPUTED_VALUE"""),"")</f>
        <v/>
      </c>
    </row>
    <row r="781">
      <c r="C781" s="2" t="str">
        <f t="shared" si="1"/>
        <v> </v>
      </c>
      <c r="D781" s="2" t="str">
        <f>IFERROR(__xludf.DUMMYFUNCTION("""COMPUTED_VALUE"""),"")</f>
        <v/>
      </c>
      <c r="E781" s="2" t="str">
        <f>IFERROR(__xludf.DUMMYFUNCTION("""COMPUTED_VALUE"""),"")</f>
        <v/>
      </c>
    </row>
    <row r="782">
      <c r="C782" s="2" t="str">
        <f t="shared" si="1"/>
        <v> </v>
      </c>
      <c r="D782" s="2" t="str">
        <f>IFERROR(__xludf.DUMMYFUNCTION("""COMPUTED_VALUE"""),"")</f>
        <v/>
      </c>
      <c r="E782" s="2" t="str">
        <f>IFERROR(__xludf.DUMMYFUNCTION("""COMPUTED_VALUE"""),"")</f>
        <v/>
      </c>
    </row>
    <row r="783">
      <c r="C783" s="2" t="str">
        <f t="shared" si="1"/>
        <v> </v>
      </c>
      <c r="D783" s="2" t="str">
        <f>IFERROR(__xludf.DUMMYFUNCTION("""COMPUTED_VALUE"""),"")</f>
        <v/>
      </c>
      <c r="E783" s="2" t="str">
        <f>IFERROR(__xludf.DUMMYFUNCTION("""COMPUTED_VALUE"""),"")</f>
        <v/>
      </c>
    </row>
    <row r="784">
      <c r="C784" s="2" t="str">
        <f t="shared" si="1"/>
        <v> </v>
      </c>
      <c r="D784" s="2" t="str">
        <f>IFERROR(__xludf.DUMMYFUNCTION("""COMPUTED_VALUE"""),"")</f>
        <v/>
      </c>
      <c r="E784" s="2" t="str">
        <f>IFERROR(__xludf.DUMMYFUNCTION("""COMPUTED_VALUE"""),"")</f>
        <v/>
      </c>
    </row>
    <row r="785">
      <c r="C785" s="2" t="str">
        <f t="shared" si="1"/>
        <v> </v>
      </c>
      <c r="D785" s="2" t="str">
        <f>IFERROR(__xludf.DUMMYFUNCTION("""COMPUTED_VALUE"""),"")</f>
        <v/>
      </c>
      <c r="E785" s="2" t="str">
        <f>IFERROR(__xludf.DUMMYFUNCTION("""COMPUTED_VALUE"""),"")</f>
        <v/>
      </c>
    </row>
    <row r="786">
      <c r="C786" s="2" t="str">
        <f t="shared" si="1"/>
        <v> </v>
      </c>
      <c r="D786" s="2" t="str">
        <f>IFERROR(__xludf.DUMMYFUNCTION("""COMPUTED_VALUE"""),"")</f>
        <v/>
      </c>
      <c r="E786" s="2" t="str">
        <f>IFERROR(__xludf.DUMMYFUNCTION("""COMPUTED_VALUE"""),"")</f>
        <v/>
      </c>
    </row>
    <row r="787">
      <c r="C787" s="2" t="str">
        <f t="shared" si="1"/>
        <v> </v>
      </c>
      <c r="D787" s="2" t="str">
        <f>IFERROR(__xludf.DUMMYFUNCTION("""COMPUTED_VALUE"""),"")</f>
        <v/>
      </c>
      <c r="E787" s="2" t="str">
        <f>IFERROR(__xludf.DUMMYFUNCTION("""COMPUTED_VALUE"""),"")</f>
        <v/>
      </c>
    </row>
    <row r="788">
      <c r="C788" s="2" t="str">
        <f t="shared" si="1"/>
        <v> </v>
      </c>
      <c r="D788" s="2" t="str">
        <f>IFERROR(__xludf.DUMMYFUNCTION("""COMPUTED_VALUE"""),"")</f>
        <v/>
      </c>
      <c r="E788" s="2" t="str">
        <f>IFERROR(__xludf.DUMMYFUNCTION("""COMPUTED_VALUE"""),"")</f>
        <v/>
      </c>
    </row>
    <row r="789">
      <c r="C789" s="2" t="str">
        <f t="shared" si="1"/>
        <v> </v>
      </c>
      <c r="D789" s="2" t="str">
        <f>IFERROR(__xludf.DUMMYFUNCTION("""COMPUTED_VALUE"""),"")</f>
        <v/>
      </c>
      <c r="E789" s="2" t="str">
        <f>IFERROR(__xludf.DUMMYFUNCTION("""COMPUTED_VALUE"""),"")</f>
        <v/>
      </c>
    </row>
    <row r="790">
      <c r="C790" s="2" t="str">
        <f t="shared" si="1"/>
        <v> </v>
      </c>
      <c r="D790" s="2" t="str">
        <f>IFERROR(__xludf.DUMMYFUNCTION("""COMPUTED_VALUE"""),"")</f>
        <v/>
      </c>
      <c r="E790" s="2" t="str">
        <f>IFERROR(__xludf.DUMMYFUNCTION("""COMPUTED_VALUE"""),"")</f>
        <v/>
      </c>
    </row>
    <row r="791">
      <c r="C791" s="2" t="str">
        <f t="shared" si="1"/>
        <v> </v>
      </c>
      <c r="D791" s="2" t="str">
        <f>IFERROR(__xludf.DUMMYFUNCTION("""COMPUTED_VALUE"""),"")</f>
        <v/>
      </c>
      <c r="E791" s="2" t="str">
        <f>IFERROR(__xludf.DUMMYFUNCTION("""COMPUTED_VALUE"""),"")</f>
        <v/>
      </c>
    </row>
    <row r="792">
      <c r="C792" s="2" t="str">
        <f t="shared" si="1"/>
        <v> </v>
      </c>
      <c r="D792" s="2" t="str">
        <f>IFERROR(__xludf.DUMMYFUNCTION("""COMPUTED_VALUE"""),"")</f>
        <v/>
      </c>
      <c r="E792" s="2" t="str">
        <f>IFERROR(__xludf.DUMMYFUNCTION("""COMPUTED_VALUE"""),"")</f>
        <v/>
      </c>
    </row>
    <row r="793">
      <c r="C793" s="2" t="str">
        <f t="shared" si="1"/>
        <v> </v>
      </c>
      <c r="D793" s="2" t="str">
        <f>IFERROR(__xludf.DUMMYFUNCTION("""COMPUTED_VALUE"""),"")</f>
        <v/>
      </c>
      <c r="E793" s="2" t="str">
        <f>IFERROR(__xludf.DUMMYFUNCTION("""COMPUTED_VALUE"""),"")</f>
        <v/>
      </c>
    </row>
    <row r="794">
      <c r="C794" s="2" t="str">
        <f t="shared" si="1"/>
        <v> </v>
      </c>
      <c r="D794" s="2" t="str">
        <f>IFERROR(__xludf.DUMMYFUNCTION("""COMPUTED_VALUE"""),"")</f>
        <v/>
      </c>
      <c r="E794" s="2" t="str">
        <f>IFERROR(__xludf.DUMMYFUNCTION("""COMPUTED_VALUE"""),"")</f>
        <v/>
      </c>
    </row>
    <row r="795">
      <c r="C795" s="2" t="str">
        <f t="shared" si="1"/>
        <v> </v>
      </c>
      <c r="D795" s="2" t="str">
        <f>IFERROR(__xludf.DUMMYFUNCTION("""COMPUTED_VALUE"""),"")</f>
        <v/>
      </c>
      <c r="E795" s="2" t="str">
        <f>IFERROR(__xludf.DUMMYFUNCTION("""COMPUTED_VALUE"""),"")</f>
        <v/>
      </c>
    </row>
    <row r="796">
      <c r="C796" s="2" t="str">
        <f t="shared" si="1"/>
        <v> </v>
      </c>
      <c r="D796" s="2" t="str">
        <f>IFERROR(__xludf.DUMMYFUNCTION("""COMPUTED_VALUE"""),"")</f>
        <v/>
      </c>
      <c r="E796" s="2" t="str">
        <f>IFERROR(__xludf.DUMMYFUNCTION("""COMPUTED_VALUE"""),"")</f>
        <v/>
      </c>
    </row>
    <row r="797">
      <c r="C797" s="2" t="str">
        <f t="shared" si="1"/>
        <v> </v>
      </c>
      <c r="D797" s="2" t="str">
        <f>IFERROR(__xludf.DUMMYFUNCTION("""COMPUTED_VALUE"""),"")</f>
        <v/>
      </c>
      <c r="E797" s="2" t="str">
        <f>IFERROR(__xludf.DUMMYFUNCTION("""COMPUTED_VALUE"""),"")</f>
        <v/>
      </c>
    </row>
    <row r="798">
      <c r="C798" s="2" t="str">
        <f t="shared" si="1"/>
        <v> </v>
      </c>
      <c r="D798" s="2" t="str">
        <f>IFERROR(__xludf.DUMMYFUNCTION("""COMPUTED_VALUE"""),"")</f>
        <v/>
      </c>
      <c r="E798" s="2" t="str">
        <f>IFERROR(__xludf.DUMMYFUNCTION("""COMPUTED_VALUE"""),"")</f>
        <v/>
      </c>
    </row>
    <row r="799">
      <c r="C799" s="2" t="str">
        <f t="shared" si="1"/>
        <v> </v>
      </c>
      <c r="D799" s="2" t="str">
        <f>IFERROR(__xludf.DUMMYFUNCTION("""COMPUTED_VALUE"""),"")</f>
        <v/>
      </c>
      <c r="E799" s="2" t="str">
        <f>IFERROR(__xludf.DUMMYFUNCTION("""COMPUTED_VALUE"""),"")</f>
        <v/>
      </c>
    </row>
    <row r="800">
      <c r="C800" s="2" t="str">
        <f t="shared" si="1"/>
        <v> </v>
      </c>
      <c r="D800" s="2"/>
      <c r="E800" s="2"/>
    </row>
    <row r="801">
      <c r="C801" s="2" t="str">
        <f t="shared" si="1"/>
        <v> </v>
      </c>
      <c r="D801" s="2"/>
      <c r="E801" s="2"/>
    </row>
    <row r="802">
      <c r="C802" s="2" t="str">
        <f t="shared" si="1"/>
        <v> </v>
      </c>
      <c r="D802" s="2"/>
      <c r="E802" s="2"/>
    </row>
    <row r="803">
      <c r="C803" s="2" t="str">
        <f t="shared" si="1"/>
        <v> </v>
      </c>
      <c r="D803" s="2"/>
      <c r="E803" s="2"/>
    </row>
    <row r="804">
      <c r="C804" s="2" t="str">
        <f t="shared" si="1"/>
        <v> </v>
      </c>
      <c r="D804" s="2"/>
      <c r="E804" s="2"/>
    </row>
    <row r="805">
      <c r="C805" s="2" t="str">
        <f t="shared" si="1"/>
        <v> </v>
      </c>
      <c r="D805" s="2"/>
      <c r="E805" s="2"/>
    </row>
    <row r="806">
      <c r="C806" s="2" t="str">
        <f t="shared" si="1"/>
        <v> </v>
      </c>
      <c r="D806" s="2"/>
      <c r="E806" s="2"/>
    </row>
    <row r="807">
      <c r="C807" s="2" t="str">
        <f t="shared" si="1"/>
        <v> </v>
      </c>
      <c r="D807" s="2"/>
      <c r="E807" s="2"/>
    </row>
    <row r="808">
      <c r="C808" s="2" t="str">
        <f t="shared" si="1"/>
        <v> </v>
      </c>
      <c r="D808" s="2"/>
      <c r="E808" s="2"/>
    </row>
    <row r="809">
      <c r="C809" s="2" t="str">
        <f t="shared" si="1"/>
        <v> </v>
      </c>
      <c r="D809" s="2"/>
      <c r="E809" s="2"/>
    </row>
    <row r="810">
      <c r="C810" s="2" t="str">
        <f t="shared" si="1"/>
        <v> </v>
      </c>
      <c r="D810" s="2"/>
      <c r="E810" s="2"/>
    </row>
    <row r="811">
      <c r="C811" s="2" t="str">
        <f t="shared" si="1"/>
        <v> </v>
      </c>
      <c r="D811" s="2"/>
      <c r="E811" s="2"/>
    </row>
    <row r="812">
      <c r="C812" s="2" t="str">
        <f t="shared" si="1"/>
        <v> </v>
      </c>
      <c r="D812" s="2"/>
      <c r="E812" s="2"/>
    </row>
    <row r="813">
      <c r="C813" s="2" t="str">
        <f t="shared" si="1"/>
        <v> </v>
      </c>
      <c r="D813" s="2"/>
      <c r="E813" s="2"/>
    </row>
    <row r="814">
      <c r="C814" s="2" t="str">
        <f t="shared" si="1"/>
        <v> </v>
      </c>
      <c r="D814" s="2"/>
      <c r="E814" s="2"/>
    </row>
    <row r="815">
      <c r="C815" s="2" t="str">
        <f t="shared" si="1"/>
        <v> </v>
      </c>
      <c r="D815" s="2"/>
      <c r="E815" s="2"/>
    </row>
    <row r="816">
      <c r="C816" s="2" t="str">
        <f t="shared" si="1"/>
        <v> </v>
      </c>
      <c r="D816" s="2"/>
      <c r="E816" s="2"/>
    </row>
    <row r="817">
      <c r="C817" s="2" t="str">
        <f t="shared" si="1"/>
        <v> </v>
      </c>
      <c r="D817" s="2"/>
      <c r="E817" s="2"/>
    </row>
    <row r="818">
      <c r="C818" s="2" t="str">
        <f t="shared" si="1"/>
        <v> </v>
      </c>
      <c r="D818" s="2"/>
      <c r="E818" s="2"/>
    </row>
    <row r="819">
      <c r="C819" s="2" t="str">
        <f t="shared" si="1"/>
        <v> </v>
      </c>
      <c r="D819" s="2"/>
      <c r="E819" s="2"/>
    </row>
    <row r="820">
      <c r="C820" s="2" t="str">
        <f t="shared" si="1"/>
        <v> </v>
      </c>
      <c r="D820" s="2"/>
      <c r="E820" s="2"/>
    </row>
    <row r="821">
      <c r="C821" s="2" t="str">
        <f t="shared" si="1"/>
        <v> </v>
      </c>
      <c r="D821" s="2"/>
      <c r="E821" s="2"/>
    </row>
    <row r="822">
      <c r="C822" s="2" t="str">
        <f t="shared" si="1"/>
        <v> </v>
      </c>
      <c r="D822" s="2"/>
      <c r="E822" s="2"/>
    </row>
    <row r="823">
      <c r="C823" s="2" t="str">
        <f t="shared" si="1"/>
        <v> </v>
      </c>
      <c r="D823" s="2"/>
      <c r="E823" s="2"/>
    </row>
    <row r="824">
      <c r="C824" s="2" t="str">
        <f t="shared" si="1"/>
        <v> </v>
      </c>
      <c r="D824" s="2"/>
      <c r="E824" s="2"/>
    </row>
    <row r="825">
      <c r="C825" s="2" t="str">
        <f t="shared" si="1"/>
        <v> </v>
      </c>
      <c r="D825" s="2"/>
      <c r="E825" s="2"/>
    </row>
    <row r="826">
      <c r="C826" s="2" t="str">
        <f t="shared" si="1"/>
        <v> </v>
      </c>
      <c r="D826" s="2"/>
      <c r="E826" s="2"/>
    </row>
    <row r="827">
      <c r="C827" s="2" t="str">
        <f t="shared" si="1"/>
        <v> </v>
      </c>
      <c r="D827" s="2"/>
      <c r="E827" s="2"/>
    </row>
    <row r="828">
      <c r="C828" s="2" t="str">
        <f t="shared" si="1"/>
        <v> </v>
      </c>
      <c r="D828" s="2"/>
      <c r="E828" s="2"/>
    </row>
    <row r="829">
      <c r="C829" s="2" t="str">
        <f t="shared" si="1"/>
        <v> </v>
      </c>
      <c r="D829" s="2"/>
      <c r="E829" s="2"/>
    </row>
    <row r="830">
      <c r="C830" s="2" t="str">
        <f t="shared" si="1"/>
        <v> </v>
      </c>
      <c r="D830" s="2"/>
      <c r="E830" s="2"/>
    </row>
    <row r="831">
      <c r="C831" s="2" t="str">
        <f t="shared" si="1"/>
        <v> </v>
      </c>
      <c r="D831" s="2"/>
      <c r="E831" s="2"/>
    </row>
    <row r="832">
      <c r="C832" s="2" t="str">
        <f t="shared" si="1"/>
        <v> </v>
      </c>
      <c r="D832" s="2"/>
      <c r="E832" s="2"/>
    </row>
    <row r="833">
      <c r="C833" s="2" t="str">
        <f t="shared" si="1"/>
        <v> </v>
      </c>
      <c r="D833" s="2"/>
      <c r="E833" s="2"/>
    </row>
    <row r="834">
      <c r="C834" s="2" t="str">
        <f t="shared" si="1"/>
        <v> </v>
      </c>
      <c r="D834" s="2"/>
      <c r="E834" s="2"/>
    </row>
    <row r="835">
      <c r="C835" s="2" t="str">
        <f t="shared" si="1"/>
        <v> </v>
      </c>
      <c r="D835" s="2"/>
      <c r="E835" s="2"/>
    </row>
    <row r="836">
      <c r="C836" s="2" t="str">
        <f t="shared" si="1"/>
        <v> </v>
      </c>
      <c r="D836" s="2"/>
      <c r="E836" s="2"/>
    </row>
    <row r="837">
      <c r="C837" s="2" t="str">
        <f t="shared" si="1"/>
        <v> </v>
      </c>
      <c r="D837" s="2"/>
      <c r="E837" s="2"/>
    </row>
    <row r="838">
      <c r="C838" s="2" t="str">
        <f t="shared" si="1"/>
        <v> </v>
      </c>
      <c r="D838" s="2"/>
      <c r="E838" s="2"/>
    </row>
    <row r="839">
      <c r="C839" s="2" t="str">
        <f t="shared" si="1"/>
        <v> </v>
      </c>
      <c r="D839" s="2"/>
      <c r="E839" s="2"/>
    </row>
    <row r="840">
      <c r="C840" s="2" t="str">
        <f t="shared" si="1"/>
        <v> </v>
      </c>
      <c r="D840" s="2"/>
      <c r="E840" s="2"/>
    </row>
    <row r="841">
      <c r="C841" s="2" t="str">
        <f t="shared" si="1"/>
        <v> </v>
      </c>
      <c r="D841" s="2"/>
      <c r="E841" s="2"/>
    </row>
    <row r="842">
      <c r="C842" s="2" t="str">
        <f t="shared" si="1"/>
        <v> </v>
      </c>
      <c r="D842" s="2"/>
      <c r="E842" s="2"/>
    </row>
    <row r="843">
      <c r="C843" s="2" t="str">
        <f t="shared" si="1"/>
        <v> </v>
      </c>
      <c r="D843" s="2"/>
      <c r="E843" s="2"/>
    </row>
    <row r="844">
      <c r="C844" s="2" t="str">
        <f t="shared" si="1"/>
        <v> </v>
      </c>
      <c r="D844" s="2"/>
      <c r="E844" s="2"/>
    </row>
    <row r="845">
      <c r="C845" s="2" t="str">
        <f t="shared" si="1"/>
        <v> </v>
      </c>
      <c r="D845" s="2"/>
      <c r="E845" s="2"/>
    </row>
    <row r="846">
      <c r="C846" s="2" t="str">
        <f t="shared" si="1"/>
        <v> </v>
      </c>
      <c r="D846" s="2"/>
      <c r="E846" s="2"/>
    </row>
    <row r="847">
      <c r="C847" s="2" t="str">
        <f t="shared" si="1"/>
        <v> </v>
      </c>
      <c r="D847" s="2"/>
      <c r="E847" s="2"/>
    </row>
    <row r="848">
      <c r="C848" s="2" t="str">
        <f t="shared" si="1"/>
        <v> </v>
      </c>
      <c r="D848" s="2"/>
      <c r="E848" s="2"/>
    </row>
    <row r="849">
      <c r="C849" s="2" t="str">
        <f t="shared" si="1"/>
        <v> </v>
      </c>
      <c r="D849" s="2"/>
      <c r="E849" s="2"/>
    </row>
    <row r="850">
      <c r="C850" s="2" t="str">
        <f t="shared" si="1"/>
        <v> </v>
      </c>
      <c r="D850" s="2"/>
      <c r="E850" s="2"/>
    </row>
    <row r="851">
      <c r="C851" s="2" t="str">
        <f t="shared" si="1"/>
        <v> </v>
      </c>
      <c r="D851" s="2"/>
      <c r="E851" s="2"/>
    </row>
    <row r="852">
      <c r="C852" s="2" t="str">
        <f t="shared" si="1"/>
        <v> </v>
      </c>
      <c r="D852" s="2"/>
      <c r="E852" s="2"/>
    </row>
    <row r="853">
      <c r="C853" s="2" t="str">
        <f t="shared" si="1"/>
        <v> </v>
      </c>
      <c r="D853" s="2"/>
      <c r="E853" s="2"/>
    </row>
    <row r="854">
      <c r="C854" s="2" t="str">
        <f t="shared" si="1"/>
        <v> </v>
      </c>
      <c r="D854" s="2"/>
      <c r="E854" s="2"/>
    </row>
    <row r="855">
      <c r="C855" s="2" t="str">
        <f t="shared" si="1"/>
        <v> </v>
      </c>
      <c r="D855" s="2"/>
      <c r="E855" s="2"/>
    </row>
    <row r="856">
      <c r="C856" s="2" t="str">
        <f t="shared" si="1"/>
        <v> </v>
      </c>
      <c r="D856" s="2"/>
      <c r="E856" s="2"/>
    </row>
    <row r="857">
      <c r="C857" s="2" t="str">
        <f t="shared" si="1"/>
        <v> </v>
      </c>
      <c r="D857" s="2"/>
      <c r="E857" s="2"/>
    </row>
    <row r="858">
      <c r="C858" s="2" t="str">
        <f t="shared" si="1"/>
        <v> </v>
      </c>
      <c r="D858" s="2"/>
      <c r="E858" s="2"/>
    </row>
    <row r="859">
      <c r="C859" s="2" t="str">
        <f t="shared" si="1"/>
        <v> </v>
      </c>
      <c r="D859" s="2"/>
      <c r="E859" s="2"/>
    </row>
    <row r="860">
      <c r="C860" s="2" t="str">
        <f t="shared" si="1"/>
        <v> </v>
      </c>
      <c r="D860" s="2"/>
      <c r="E860" s="2"/>
    </row>
    <row r="861">
      <c r="C861" s="2" t="str">
        <f t="shared" si="1"/>
        <v> </v>
      </c>
      <c r="D861" s="2"/>
      <c r="E861" s="2"/>
    </row>
    <row r="862">
      <c r="C862" s="2" t="str">
        <f t="shared" si="1"/>
        <v> </v>
      </c>
      <c r="D862" s="2"/>
      <c r="E862" s="2"/>
    </row>
    <row r="863">
      <c r="C863" s="2" t="str">
        <f t="shared" si="1"/>
        <v> </v>
      </c>
      <c r="D863" s="2"/>
      <c r="E863" s="2"/>
    </row>
    <row r="864">
      <c r="C864" s="2" t="str">
        <f t="shared" si="1"/>
        <v> </v>
      </c>
      <c r="D864" s="2"/>
      <c r="E864" s="2"/>
    </row>
    <row r="865">
      <c r="C865" s="2" t="str">
        <f t="shared" si="1"/>
        <v> </v>
      </c>
      <c r="D865" s="2"/>
      <c r="E865" s="2"/>
    </row>
    <row r="866">
      <c r="C866" s="2" t="str">
        <f t="shared" si="1"/>
        <v> </v>
      </c>
      <c r="D866" s="2"/>
      <c r="E866" s="2"/>
    </row>
    <row r="867">
      <c r="C867" s="2" t="str">
        <f t="shared" si="1"/>
        <v> </v>
      </c>
      <c r="D867" s="2"/>
      <c r="E867" s="2"/>
    </row>
    <row r="868">
      <c r="C868" s="2" t="str">
        <f t="shared" si="1"/>
        <v> </v>
      </c>
      <c r="D868" s="2"/>
      <c r="E868" s="2"/>
    </row>
    <row r="869">
      <c r="C869" s="2" t="str">
        <f t="shared" si="1"/>
        <v> </v>
      </c>
      <c r="D869" s="2"/>
      <c r="E869" s="2"/>
    </row>
    <row r="870">
      <c r="C870" s="2" t="str">
        <f t="shared" si="1"/>
        <v> </v>
      </c>
      <c r="D870" s="2"/>
      <c r="E870" s="2"/>
    </row>
    <row r="871">
      <c r="C871" s="2" t="str">
        <f t="shared" si="1"/>
        <v> </v>
      </c>
      <c r="D871" s="2"/>
      <c r="E871" s="2"/>
    </row>
    <row r="872">
      <c r="C872" s="2" t="str">
        <f t="shared" si="1"/>
        <v> </v>
      </c>
      <c r="D872" s="2"/>
      <c r="E872" s="2"/>
    </row>
    <row r="873">
      <c r="C873" s="2" t="str">
        <f t="shared" si="1"/>
        <v> </v>
      </c>
      <c r="D873" s="2"/>
      <c r="E873" s="2"/>
    </row>
    <row r="874">
      <c r="C874" s="2" t="str">
        <f t="shared" si="1"/>
        <v> </v>
      </c>
      <c r="D874" s="2"/>
      <c r="E874" s="2"/>
    </row>
    <row r="875">
      <c r="C875" s="2" t="str">
        <f t="shared" si="1"/>
        <v> </v>
      </c>
      <c r="D875" s="2"/>
      <c r="E875" s="2"/>
    </row>
    <row r="876">
      <c r="C876" s="2" t="str">
        <f t="shared" si="1"/>
        <v> </v>
      </c>
      <c r="D876" s="2"/>
      <c r="E876" s="2"/>
    </row>
    <row r="877">
      <c r="C877" s="2" t="str">
        <f t="shared" si="1"/>
        <v> </v>
      </c>
      <c r="D877" s="2"/>
      <c r="E877" s="2"/>
    </row>
    <row r="878">
      <c r="C878" s="2" t="str">
        <f t="shared" si="1"/>
        <v> </v>
      </c>
      <c r="D878" s="2"/>
      <c r="E878" s="2"/>
    </row>
    <row r="879">
      <c r="C879" s="2" t="str">
        <f t="shared" si="1"/>
        <v> </v>
      </c>
      <c r="D879" s="2"/>
      <c r="E879" s="2"/>
    </row>
    <row r="880">
      <c r="C880" s="2" t="str">
        <f t="shared" si="1"/>
        <v> </v>
      </c>
      <c r="D880" s="2"/>
      <c r="E880" s="2"/>
    </row>
    <row r="881">
      <c r="C881" s="2" t="str">
        <f t="shared" si="1"/>
        <v> </v>
      </c>
      <c r="D881" s="2"/>
      <c r="E881" s="2"/>
    </row>
    <row r="882">
      <c r="C882" s="2" t="str">
        <f t="shared" si="1"/>
        <v> </v>
      </c>
      <c r="D882" s="2"/>
      <c r="E882" s="2"/>
    </row>
    <row r="883">
      <c r="C883" s="2" t="str">
        <f t="shared" si="1"/>
        <v> </v>
      </c>
      <c r="D883" s="2"/>
      <c r="E883" s="2"/>
    </row>
    <row r="884">
      <c r="C884" s="2" t="str">
        <f t="shared" si="1"/>
        <v> </v>
      </c>
      <c r="D884" s="2"/>
      <c r="E884" s="2"/>
    </row>
    <row r="885">
      <c r="C885" s="2" t="str">
        <f t="shared" si="1"/>
        <v> </v>
      </c>
      <c r="D885" s="2"/>
      <c r="E885" s="2"/>
    </row>
    <row r="886">
      <c r="C886" s="2" t="str">
        <f t="shared" si="1"/>
        <v> </v>
      </c>
      <c r="D886" s="2"/>
      <c r="E886" s="2"/>
    </row>
    <row r="887">
      <c r="C887" s="2" t="str">
        <f t="shared" si="1"/>
        <v> </v>
      </c>
      <c r="D887" s="2"/>
      <c r="E887" s="2"/>
    </row>
    <row r="888">
      <c r="C888" s="2" t="str">
        <f t="shared" si="1"/>
        <v> </v>
      </c>
      <c r="D888" s="2"/>
      <c r="E888" s="2"/>
    </row>
    <row r="889">
      <c r="C889" s="2" t="str">
        <f t="shared" si="1"/>
        <v> </v>
      </c>
      <c r="D889" s="2"/>
      <c r="E889" s="2"/>
    </row>
    <row r="890">
      <c r="C890" s="2" t="str">
        <f t="shared" si="1"/>
        <v> </v>
      </c>
      <c r="D890" s="2"/>
      <c r="E890" s="2"/>
    </row>
    <row r="891">
      <c r="C891" s="2" t="str">
        <f t="shared" si="1"/>
        <v> </v>
      </c>
      <c r="D891" s="2"/>
      <c r="E891" s="2"/>
    </row>
    <row r="892">
      <c r="C892" s="2" t="str">
        <f t="shared" si="1"/>
        <v> </v>
      </c>
      <c r="D892" s="2"/>
      <c r="E892" s="2"/>
    </row>
    <row r="893">
      <c r="C893" s="2" t="str">
        <f t="shared" si="1"/>
        <v> </v>
      </c>
      <c r="D893" s="2"/>
      <c r="E893" s="2"/>
    </row>
    <row r="894">
      <c r="C894" s="2" t="str">
        <f t="shared" si="1"/>
        <v> </v>
      </c>
      <c r="D894" s="2"/>
      <c r="E894" s="2"/>
    </row>
    <row r="895">
      <c r="C895" s="2" t="str">
        <f t="shared" si="1"/>
        <v> </v>
      </c>
      <c r="D895" s="2"/>
      <c r="E895" s="2"/>
    </row>
    <row r="896">
      <c r="C896" s="2" t="str">
        <f t="shared" si="1"/>
        <v> </v>
      </c>
      <c r="D896" s="2"/>
      <c r="E896" s="2"/>
    </row>
    <row r="897">
      <c r="C897" s="2" t="str">
        <f t="shared" si="1"/>
        <v> </v>
      </c>
      <c r="D897" s="2"/>
      <c r="E897" s="2"/>
    </row>
    <row r="898">
      <c r="C898" s="2" t="str">
        <f t="shared" si="1"/>
        <v> </v>
      </c>
      <c r="D898" s="2"/>
      <c r="E898" s="2"/>
    </row>
    <row r="899">
      <c r="C899" s="2" t="str">
        <f t="shared" si="1"/>
        <v> </v>
      </c>
      <c r="D899" s="2"/>
      <c r="E899" s="2"/>
    </row>
    <row r="900">
      <c r="C900" s="2" t="str">
        <f t="shared" si="1"/>
        <v> </v>
      </c>
      <c r="D900" s="2"/>
      <c r="E900" s="2"/>
    </row>
    <row r="901">
      <c r="C901" s="2" t="str">
        <f t="shared" si="1"/>
        <v> </v>
      </c>
      <c r="D901" s="2"/>
      <c r="E901" s="2"/>
    </row>
    <row r="902">
      <c r="C902" s="2" t="str">
        <f t="shared" si="1"/>
        <v> </v>
      </c>
      <c r="D902" s="2"/>
      <c r="E902" s="2"/>
    </row>
    <row r="903">
      <c r="C903" s="2" t="str">
        <f t="shared" si="1"/>
        <v> </v>
      </c>
      <c r="D903" s="2"/>
      <c r="E903" s="2"/>
    </row>
    <row r="904">
      <c r="C904" s="2" t="str">
        <f t="shared" si="1"/>
        <v> </v>
      </c>
      <c r="D904" s="2"/>
      <c r="E904" s="2"/>
    </row>
    <row r="905">
      <c r="C905" s="2" t="str">
        <f t="shared" si="1"/>
        <v> </v>
      </c>
      <c r="D905" s="2"/>
      <c r="E905" s="2"/>
    </row>
    <row r="906">
      <c r="C906" s="2" t="str">
        <f t="shared" si="1"/>
        <v> </v>
      </c>
      <c r="D906" s="2"/>
      <c r="E906" s="2"/>
    </row>
    <row r="907">
      <c r="C907" s="2" t="str">
        <f t="shared" si="1"/>
        <v> </v>
      </c>
      <c r="D907" s="2"/>
      <c r="E907" s="2"/>
    </row>
    <row r="908">
      <c r="C908" s="2" t="str">
        <f t="shared" si="1"/>
        <v> </v>
      </c>
      <c r="D908" s="2"/>
      <c r="E908" s="2"/>
    </row>
    <row r="909">
      <c r="C909" s="2" t="str">
        <f t="shared" si="1"/>
        <v> </v>
      </c>
      <c r="D909" s="2"/>
      <c r="E909" s="2"/>
    </row>
    <row r="910">
      <c r="C910" s="2" t="str">
        <f t="shared" si="1"/>
        <v> </v>
      </c>
      <c r="D910" s="2"/>
      <c r="E910" s="2"/>
    </row>
    <row r="911">
      <c r="C911" s="2" t="str">
        <f t="shared" si="1"/>
        <v> </v>
      </c>
      <c r="D911" s="2"/>
      <c r="E911" s="2"/>
    </row>
    <row r="912">
      <c r="C912" s="2" t="str">
        <f t="shared" si="1"/>
        <v> </v>
      </c>
      <c r="D912" s="2"/>
      <c r="E912" s="2"/>
    </row>
    <row r="913">
      <c r="C913" s="2" t="str">
        <f t="shared" si="1"/>
        <v> </v>
      </c>
      <c r="D913" s="2"/>
      <c r="E913" s="2"/>
    </row>
    <row r="914">
      <c r="C914" s="2" t="str">
        <f t="shared" si="1"/>
        <v> </v>
      </c>
      <c r="D914" s="2"/>
      <c r="E914" s="2"/>
    </row>
    <row r="915">
      <c r="C915" s="2" t="str">
        <f t="shared" si="1"/>
        <v> </v>
      </c>
      <c r="D915" s="2"/>
      <c r="E915" s="2"/>
    </row>
    <row r="916">
      <c r="C916" s="2" t="str">
        <f t="shared" si="1"/>
        <v> </v>
      </c>
      <c r="D916" s="2"/>
      <c r="E916" s="2"/>
    </row>
    <row r="917">
      <c r="C917" s="2" t="str">
        <f t="shared" si="1"/>
        <v> </v>
      </c>
      <c r="D917" s="2"/>
      <c r="E917" s="2"/>
    </row>
    <row r="918">
      <c r="C918" s="2" t="str">
        <f t="shared" si="1"/>
        <v> </v>
      </c>
      <c r="D918" s="2"/>
      <c r="E918" s="2"/>
    </row>
    <row r="919">
      <c r="C919" s="2" t="str">
        <f t="shared" si="1"/>
        <v> </v>
      </c>
      <c r="D919" s="2"/>
      <c r="E919" s="2"/>
    </row>
    <row r="920">
      <c r="C920" s="2" t="str">
        <f t="shared" si="1"/>
        <v> </v>
      </c>
      <c r="D920" s="2"/>
      <c r="E920" s="2"/>
    </row>
    <row r="921">
      <c r="C921" s="2" t="str">
        <f t="shared" si="1"/>
        <v> </v>
      </c>
      <c r="D921" s="2"/>
      <c r="E921" s="2"/>
    </row>
    <row r="922">
      <c r="C922" s="2" t="str">
        <f t="shared" si="1"/>
        <v> </v>
      </c>
      <c r="D922" s="2"/>
      <c r="E922" s="2"/>
    </row>
    <row r="923">
      <c r="C923" s="2" t="str">
        <f t="shared" si="1"/>
        <v> </v>
      </c>
      <c r="D923" s="2"/>
      <c r="E923" s="2"/>
    </row>
    <row r="924">
      <c r="C924" s="2" t="str">
        <f t="shared" si="1"/>
        <v> </v>
      </c>
      <c r="D924" s="2"/>
      <c r="E924" s="2"/>
    </row>
    <row r="925">
      <c r="C925" s="2" t="str">
        <f t="shared" si="1"/>
        <v> </v>
      </c>
      <c r="D925" s="2"/>
      <c r="E925" s="2"/>
    </row>
    <row r="926">
      <c r="C926" s="2" t="str">
        <f t="shared" si="1"/>
        <v> </v>
      </c>
      <c r="D926" s="2"/>
      <c r="E926" s="2"/>
    </row>
    <row r="927">
      <c r="C927" s="2" t="str">
        <f t="shared" si="1"/>
        <v> </v>
      </c>
      <c r="D927" s="2"/>
      <c r="E927" s="2"/>
    </row>
    <row r="928">
      <c r="C928" s="2" t="str">
        <f t="shared" si="1"/>
        <v> </v>
      </c>
      <c r="D928" s="2"/>
      <c r="E928" s="2"/>
    </row>
    <row r="929">
      <c r="C929" s="2" t="str">
        <f t="shared" si="1"/>
        <v> </v>
      </c>
      <c r="D929" s="2"/>
      <c r="E929" s="2"/>
    </row>
    <row r="930">
      <c r="C930" s="2" t="str">
        <f t="shared" si="1"/>
        <v> </v>
      </c>
      <c r="D930" s="2"/>
      <c r="E930" s="2"/>
    </row>
    <row r="931">
      <c r="C931" s="2" t="str">
        <f t="shared" si="1"/>
        <v> </v>
      </c>
      <c r="D931" s="2"/>
      <c r="E931" s="2"/>
    </row>
    <row r="932">
      <c r="C932" s="2" t="str">
        <f t="shared" si="1"/>
        <v> </v>
      </c>
      <c r="D932" s="2"/>
      <c r="E932" s="2"/>
    </row>
    <row r="933">
      <c r="C933" s="2" t="str">
        <f t="shared" si="1"/>
        <v> </v>
      </c>
      <c r="D933" s="2"/>
      <c r="E933" s="2"/>
    </row>
    <row r="934">
      <c r="C934" s="2" t="str">
        <f t="shared" si="1"/>
        <v> </v>
      </c>
      <c r="D934" s="2"/>
      <c r="E934" s="2"/>
    </row>
    <row r="935">
      <c r="C935" s="2" t="str">
        <f t="shared" si="1"/>
        <v> </v>
      </c>
      <c r="D935" s="2"/>
      <c r="E935" s="2"/>
    </row>
    <row r="936">
      <c r="C936" s="2" t="str">
        <f t="shared" si="1"/>
        <v> </v>
      </c>
      <c r="D936" s="2"/>
      <c r="E936" s="2"/>
    </row>
    <row r="937">
      <c r="C937" s="2" t="str">
        <f t="shared" si="1"/>
        <v> </v>
      </c>
      <c r="D937" s="2"/>
      <c r="E937" s="2"/>
    </row>
    <row r="938">
      <c r="C938" s="2" t="str">
        <f t="shared" si="1"/>
        <v> </v>
      </c>
      <c r="D938" s="2"/>
      <c r="E938" s="2"/>
    </row>
    <row r="939">
      <c r="C939" s="2" t="str">
        <f t="shared" si="1"/>
        <v> </v>
      </c>
      <c r="D939" s="2"/>
      <c r="E939" s="2"/>
    </row>
    <row r="940">
      <c r="C940" s="2" t="str">
        <f t="shared" si="1"/>
        <v> </v>
      </c>
      <c r="D940" s="2"/>
      <c r="E940" s="2"/>
    </row>
    <row r="941">
      <c r="C941" s="2" t="str">
        <f t="shared" si="1"/>
        <v> </v>
      </c>
      <c r="D941" s="2"/>
      <c r="E941" s="2"/>
    </row>
    <row r="942">
      <c r="C942" s="2" t="str">
        <f t="shared" si="1"/>
        <v> </v>
      </c>
      <c r="D942" s="2"/>
      <c r="E942" s="2"/>
    </row>
    <row r="943">
      <c r="C943" s="2" t="str">
        <f t="shared" si="1"/>
        <v> </v>
      </c>
      <c r="D943" s="2"/>
      <c r="E943" s="2"/>
    </row>
    <row r="944">
      <c r="C944" s="2" t="str">
        <f t="shared" si="1"/>
        <v> </v>
      </c>
      <c r="D944" s="2"/>
      <c r="E944" s="2"/>
    </row>
    <row r="945">
      <c r="C945" s="2" t="str">
        <f t="shared" si="1"/>
        <v> </v>
      </c>
      <c r="D945" s="2"/>
      <c r="E945" s="2"/>
    </row>
    <row r="946">
      <c r="C946" s="2" t="str">
        <f t="shared" si="1"/>
        <v> </v>
      </c>
      <c r="D946" s="2"/>
      <c r="E946" s="2"/>
    </row>
    <row r="947">
      <c r="C947" s="2" t="str">
        <f t="shared" si="1"/>
        <v> </v>
      </c>
      <c r="D947" s="2"/>
      <c r="E947" s="2"/>
    </row>
    <row r="948">
      <c r="C948" s="2" t="str">
        <f t="shared" si="1"/>
        <v> </v>
      </c>
      <c r="D948" s="2"/>
      <c r="E948" s="2"/>
    </row>
    <row r="949">
      <c r="C949" s="2" t="str">
        <f t="shared" si="1"/>
        <v> </v>
      </c>
      <c r="D949" s="2"/>
      <c r="E949" s="2"/>
    </row>
    <row r="950">
      <c r="C950" s="2" t="str">
        <f t="shared" si="1"/>
        <v> </v>
      </c>
      <c r="D950" s="2"/>
      <c r="E950" s="2"/>
    </row>
    <row r="951">
      <c r="C951" s="2" t="str">
        <f t="shared" si="1"/>
        <v> </v>
      </c>
      <c r="D951" s="2"/>
      <c r="E951" s="2"/>
    </row>
    <row r="952">
      <c r="C952" s="2" t="str">
        <f t="shared" si="1"/>
        <v> </v>
      </c>
      <c r="D952" s="2"/>
      <c r="E952" s="2"/>
    </row>
    <row r="953">
      <c r="C953" s="2" t="str">
        <f t="shared" si="1"/>
        <v> </v>
      </c>
      <c r="D953" s="2"/>
      <c r="E953" s="2"/>
    </row>
    <row r="954">
      <c r="C954" s="2" t="str">
        <f t="shared" si="1"/>
        <v> </v>
      </c>
      <c r="D954" s="2"/>
      <c r="E954" s="2"/>
    </row>
    <row r="955">
      <c r="C955" s="2" t="str">
        <f t="shared" si="1"/>
        <v> </v>
      </c>
      <c r="D955" s="2"/>
      <c r="E955" s="2"/>
    </row>
    <row r="956">
      <c r="C956" s="2" t="str">
        <f t="shared" si="1"/>
        <v> </v>
      </c>
      <c r="D956" s="2"/>
      <c r="E956" s="2"/>
    </row>
    <row r="957">
      <c r="C957" s="2" t="str">
        <f t="shared" si="1"/>
        <v> </v>
      </c>
      <c r="D957" s="2"/>
      <c r="E957" s="2"/>
    </row>
    <row r="958">
      <c r="C958" s="2" t="str">
        <f t="shared" si="1"/>
        <v> </v>
      </c>
      <c r="D958" s="2"/>
      <c r="E958" s="2"/>
    </row>
    <row r="959">
      <c r="C959" s="2" t="str">
        <f t="shared" si="1"/>
        <v> </v>
      </c>
      <c r="D959" s="2"/>
      <c r="E959" s="2"/>
    </row>
    <row r="960">
      <c r="C960" s="2" t="str">
        <f t="shared" si="1"/>
        <v> </v>
      </c>
      <c r="D960" s="2"/>
      <c r="E960" s="2"/>
    </row>
    <row r="961">
      <c r="C961" s="2" t="str">
        <f t="shared" si="1"/>
        <v> </v>
      </c>
      <c r="D961" s="2"/>
      <c r="E961" s="2"/>
    </row>
    <row r="962">
      <c r="C962" s="2" t="str">
        <f t="shared" si="1"/>
        <v> </v>
      </c>
      <c r="D962" s="2"/>
      <c r="E962" s="2"/>
    </row>
    <row r="963">
      <c r="C963" s="2" t="str">
        <f t="shared" si="1"/>
        <v> </v>
      </c>
      <c r="D963" s="2"/>
      <c r="E963" s="2"/>
    </row>
    <row r="964">
      <c r="C964" s="2" t="str">
        <f t="shared" si="1"/>
        <v> </v>
      </c>
      <c r="D964" s="2"/>
      <c r="E964" s="2"/>
    </row>
    <row r="965">
      <c r="C965" s="2" t="str">
        <f t="shared" si="1"/>
        <v> </v>
      </c>
      <c r="D965" s="2"/>
      <c r="E965" s="2"/>
    </row>
    <row r="966">
      <c r="C966" s="2" t="str">
        <f t="shared" si="1"/>
        <v> </v>
      </c>
      <c r="D966" s="2"/>
      <c r="E966" s="2"/>
    </row>
    <row r="967">
      <c r="C967" s="2" t="str">
        <f t="shared" si="1"/>
        <v> </v>
      </c>
      <c r="D967" s="2"/>
      <c r="E967" s="2"/>
    </row>
    <row r="968">
      <c r="C968" s="2" t="str">
        <f t="shared" si="1"/>
        <v> </v>
      </c>
      <c r="D968" s="2"/>
      <c r="E968" s="2"/>
    </row>
    <row r="969">
      <c r="C969" s="2" t="str">
        <f t="shared" si="1"/>
        <v> </v>
      </c>
      <c r="D969" s="2"/>
      <c r="E969" s="2"/>
    </row>
    <row r="970">
      <c r="C970" s="2" t="str">
        <f t="shared" si="1"/>
        <v> </v>
      </c>
      <c r="D970" s="2"/>
      <c r="E970" s="2"/>
    </row>
    <row r="971">
      <c r="C971" s="2" t="str">
        <f t="shared" si="1"/>
        <v> </v>
      </c>
      <c r="D971" s="2"/>
      <c r="E971" s="2"/>
    </row>
    <row r="972">
      <c r="C972" s="2" t="str">
        <f t="shared" si="1"/>
        <v> </v>
      </c>
      <c r="D972" s="2"/>
      <c r="E972" s="2"/>
    </row>
    <row r="973">
      <c r="C973" s="2" t="str">
        <f t="shared" si="1"/>
        <v> </v>
      </c>
      <c r="D973" s="2"/>
      <c r="E973" s="2"/>
    </row>
    <row r="974">
      <c r="C974" s="2" t="str">
        <f t="shared" si="1"/>
        <v> </v>
      </c>
      <c r="D974" s="2"/>
      <c r="E974" s="2"/>
    </row>
    <row r="975">
      <c r="C975" s="2" t="str">
        <f t="shared" si="1"/>
        <v> </v>
      </c>
      <c r="D975" s="2"/>
      <c r="E975" s="2"/>
    </row>
    <row r="976">
      <c r="C976" s="2" t="str">
        <f t="shared" si="1"/>
        <v> </v>
      </c>
      <c r="D976" s="2"/>
      <c r="E976" s="2"/>
    </row>
    <row r="977">
      <c r="C977" s="2" t="str">
        <f t="shared" si="1"/>
        <v> </v>
      </c>
      <c r="D977" s="2"/>
      <c r="E977" s="2"/>
    </row>
    <row r="978">
      <c r="C978" s="2" t="str">
        <f t="shared" si="1"/>
        <v> </v>
      </c>
      <c r="D978" s="2"/>
      <c r="E978" s="2"/>
    </row>
    <row r="979">
      <c r="C979" s="2" t="str">
        <f t="shared" si="1"/>
        <v> </v>
      </c>
      <c r="D979" s="2"/>
      <c r="E979" s="2"/>
    </row>
    <row r="980">
      <c r="C980" s="2" t="str">
        <f t="shared" si="1"/>
        <v> </v>
      </c>
      <c r="D980" s="2"/>
      <c r="E980" s="2"/>
    </row>
    <row r="981">
      <c r="C981" s="2" t="str">
        <f t="shared" si="1"/>
        <v> </v>
      </c>
      <c r="D981" s="2"/>
      <c r="E981" s="2"/>
    </row>
    <row r="982">
      <c r="C982" s="2" t="str">
        <f t="shared" si="1"/>
        <v> </v>
      </c>
      <c r="D982" s="2"/>
      <c r="E982" s="2"/>
    </row>
    <row r="983">
      <c r="C983" s="2" t="str">
        <f t="shared" si="1"/>
        <v> </v>
      </c>
      <c r="D983" s="2"/>
      <c r="E983" s="2"/>
    </row>
    <row r="984">
      <c r="C984" s="2" t="str">
        <f t="shared" si="1"/>
        <v> </v>
      </c>
      <c r="D984" s="2"/>
      <c r="E984" s="2"/>
    </row>
    <row r="985">
      <c r="C985" s="2" t="str">
        <f t="shared" si="1"/>
        <v> </v>
      </c>
      <c r="D985" s="2"/>
      <c r="E985" s="2"/>
    </row>
    <row r="986">
      <c r="C986" s="2" t="str">
        <f t="shared" si="1"/>
        <v> </v>
      </c>
      <c r="D986" s="2"/>
      <c r="E986" s="2"/>
    </row>
    <row r="987">
      <c r="C987" s="2" t="str">
        <f t="shared" si="1"/>
        <v> </v>
      </c>
      <c r="D987" s="2"/>
      <c r="E987" s="2"/>
    </row>
    <row r="988">
      <c r="C988" s="2" t="str">
        <f t="shared" si="1"/>
        <v> </v>
      </c>
      <c r="D988" s="2"/>
      <c r="E988" s="2"/>
    </row>
    <row r="989">
      <c r="C989" s="2" t="str">
        <f t="shared" si="1"/>
        <v> </v>
      </c>
      <c r="D989" s="2"/>
      <c r="E989" s="2"/>
    </row>
    <row r="990">
      <c r="C990" s="2" t="str">
        <f t="shared" si="1"/>
        <v> </v>
      </c>
      <c r="D990" s="2"/>
      <c r="E990" s="2"/>
    </row>
    <row r="991">
      <c r="C991" s="2" t="str">
        <f t="shared" si="1"/>
        <v> </v>
      </c>
      <c r="D991" s="2"/>
      <c r="E991" s="2"/>
    </row>
    <row r="992">
      <c r="C992" s="2" t="str">
        <f t="shared" si="1"/>
        <v> </v>
      </c>
      <c r="D992" s="2"/>
      <c r="E992" s="2"/>
    </row>
    <row r="993">
      <c r="C993" s="2" t="str">
        <f t="shared" si="1"/>
        <v> </v>
      </c>
      <c r="D993" s="2"/>
      <c r="E993" s="2"/>
    </row>
    <row r="994">
      <c r="C994" s="2" t="str">
        <f t="shared" si="1"/>
        <v> </v>
      </c>
      <c r="D994" s="2"/>
      <c r="E994" s="2"/>
    </row>
    <row r="995">
      <c r="C995" s="2" t="str">
        <f t="shared" si="1"/>
        <v> </v>
      </c>
      <c r="D995" s="2"/>
      <c r="E995" s="2"/>
    </row>
    <row r="996">
      <c r="C996" s="2" t="str">
        <f t="shared" si="1"/>
        <v> </v>
      </c>
      <c r="D996" s="2"/>
      <c r="E996" s="2"/>
    </row>
    <row r="997">
      <c r="C997" s="2" t="str">
        <f t="shared" si="1"/>
        <v> </v>
      </c>
      <c r="D997" s="2"/>
      <c r="E997" s="2"/>
    </row>
    <row r="998">
      <c r="C998" s="2" t="str">
        <f t="shared" si="1"/>
        <v> </v>
      </c>
      <c r="D998" s="2"/>
      <c r="E998" s="2"/>
    </row>
    <row r="999">
      <c r="C999" s="2" t="str">
        <f t="shared" si="1"/>
        <v> </v>
      </c>
      <c r="D999" s="2"/>
      <c r="E999" s="2"/>
    </row>
    <row r="1000">
      <c r="C1000" s="2" t="str">
        <f t="shared" si="1"/>
        <v> </v>
      </c>
      <c r="D1000" s="2"/>
      <c r="E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63"/>
    <col customWidth="1" min="3" max="3" width="28.25"/>
    <col customWidth="1" min="5" max="5" width="17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2.88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30" t="s">
        <v>20</v>
      </c>
      <c r="B4" s="12" t="s">
        <v>21</v>
      </c>
      <c r="C4" s="13"/>
      <c r="D4" s="11" t="s">
        <v>22</v>
      </c>
      <c r="E4" s="31">
        <v>47165.0</v>
      </c>
      <c r="F4" s="11" t="s">
        <v>22</v>
      </c>
      <c r="G4" s="11" t="s">
        <v>23</v>
      </c>
      <c r="H4" s="11" t="s">
        <v>24</v>
      </c>
      <c r="I4" s="11">
        <v>12677.0</v>
      </c>
      <c r="J4" s="11">
        <f t="shared" ref="J4:J9" si="1">IF(ISBLANK(I4), "[Do Not Edit]", IF(AND(I4&gt;=0, I4&lt;=800), 2, IF(AND(I4&gt;=801, I4&lt;=22000), 3, IF(I4&gt;22001, 5, ""))))</f>
        <v>3</v>
      </c>
      <c r="K4" s="32">
        <v>45506.0</v>
      </c>
      <c r="L4" s="33">
        <v>45561.0</v>
      </c>
      <c r="M4" s="34" t="s">
        <v>25</v>
      </c>
      <c r="N4" s="11" t="str">
        <f t="shared" ref="N4:N9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Lot 1-1
Lot 1-2
Lot 1-3</v>
      </c>
      <c r="O4" s="11" t="s">
        <v>26</v>
      </c>
      <c r="P4" s="11" t="s">
        <v>27</v>
      </c>
      <c r="Q4" s="11" t="s">
        <v>28</v>
      </c>
    </row>
    <row r="5">
      <c r="A5" s="30" t="s">
        <v>20</v>
      </c>
      <c r="B5" s="12" t="s">
        <v>21</v>
      </c>
      <c r="C5" s="13"/>
      <c r="D5" s="11" t="s">
        <v>22</v>
      </c>
      <c r="E5" s="31">
        <v>47165.0</v>
      </c>
      <c r="F5" s="11" t="s">
        <v>22</v>
      </c>
      <c r="G5" s="11" t="s">
        <v>23</v>
      </c>
      <c r="H5" s="11" t="s">
        <v>29</v>
      </c>
      <c r="I5" s="11">
        <v>11000.0</v>
      </c>
      <c r="J5" s="11">
        <f t="shared" si="1"/>
        <v>3</v>
      </c>
      <c r="K5" s="32">
        <v>45566.0</v>
      </c>
      <c r="L5" s="35">
        <v>45594.0</v>
      </c>
      <c r="M5" s="11" t="s">
        <v>30</v>
      </c>
      <c r="N5" s="11" t="str">
        <f t="shared" si="2"/>
        <v>Lot 2-1
Lot 2-2
Lot 2-3</v>
      </c>
      <c r="O5" s="11" t="s">
        <v>26</v>
      </c>
      <c r="P5" s="11" t="s">
        <v>27</v>
      </c>
      <c r="Q5" s="11" t="s">
        <v>31</v>
      </c>
    </row>
    <row r="6">
      <c r="A6" s="30" t="s">
        <v>20</v>
      </c>
      <c r="B6" s="12" t="s">
        <v>21</v>
      </c>
      <c r="C6" s="13"/>
      <c r="D6" s="11" t="s">
        <v>22</v>
      </c>
      <c r="E6" s="31">
        <v>47165.0</v>
      </c>
      <c r="F6" s="11" t="s">
        <v>22</v>
      </c>
      <c r="G6" s="11" t="s">
        <v>23</v>
      </c>
      <c r="H6" s="11" t="s">
        <v>32</v>
      </c>
      <c r="I6" s="11">
        <v>17500.0</v>
      </c>
      <c r="J6" s="11">
        <f t="shared" si="1"/>
        <v>3</v>
      </c>
      <c r="K6" s="36">
        <v>45601.0</v>
      </c>
      <c r="L6" s="32">
        <v>45629.0</v>
      </c>
      <c r="M6" s="11" t="s">
        <v>33</v>
      </c>
      <c r="N6" s="11" t="str">
        <f t="shared" si="2"/>
        <v>Lot 3-1
Lot 3-2
Lot 3-3</v>
      </c>
      <c r="O6" s="11" t="s">
        <v>26</v>
      </c>
      <c r="P6" s="11" t="s">
        <v>27</v>
      </c>
      <c r="Q6" s="11" t="s">
        <v>34</v>
      </c>
    </row>
    <row r="7">
      <c r="A7" s="30" t="s">
        <v>20</v>
      </c>
      <c r="B7" s="12" t="s">
        <v>21</v>
      </c>
      <c r="C7" s="13"/>
      <c r="D7" s="11" t="s">
        <v>22</v>
      </c>
      <c r="E7" s="31">
        <v>47165.0</v>
      </c>
      <c r="F7" s="11" t="s">
        <v>22</v>
      </c>
      <c r="G7" s="11" t="s">
        <v>23</v>
      </c>
      <c r="H7" s="11" t="s">
        <v>35</v>
      </c>
      <c r="I7" s="11">
        <v>15000.0</v>
      </c>
      <c r="J7" s="11">
        <f t="shared" si="1"/>
        <v>3</v>
      </c>
      <c r="K7" s="32">
        <v>45667.0</v>
      </c>
      <c r="L7" s="32">
        <v>45692.0</v>
      </c>
      <c r="M7" s="11" t="s">
        <v>36</v>
      </c>
      <c r="N7" s="11" t="str">
        <f t="shared" si="2"/>
        <v>Lot 4-1
Lot 4-2
Lot 4-3</v>
      </c>
      <c r="O7" s="11" t="s">
        <v>26</v>
      </c>
      <c r="P7" s="11" t="s">
        <v>27</v>
      </c>
      <c r="Q7" s="11" t="s">
        <v>37</v>
      </c>
    </row>
    <row r="8">
      <c r="A8" s="30" t="s">
        <v>20</v>
      </c>
      <c r="B8" s="12" t="s">
        <v>21</v>
      </c>
      <c r="C8" s="13"/>
      <c r="D8" s="11" t="s">
        <v>22</v>
      </c>
      <c r="E8" s="31">
        <v>47165.0</v>
      </c>
      <c r="F8" s="11" t="s">
        <v>22</v>
      </c>
      <c r="G8" s="11" t="s">
        <v>23</v>
      </c>
      <c r="H8" s="11" t="s">
        <v>38</v>
      </c>
      <c r="I8" s="11">
        <v>17000.0</v>
      </c>
      <c r="J8" s="11">
        <f t="shared" si="1"/>
        <v>3</v>
      </c>
      <c r="K8" s="32">
        <v>45708.0</v>
      </c>
      <c r="L8" s="32">
        <v>45723.0</v>
      </c>
      <c r="M8" s="11" t="s">
        <v>39</v>
      </c>
      <c r="N8" s="11" t="str">
        <f t="shared" si="2"/>
        <v>Lot 5-1
Lot 5-2
Lot 5-3</v>
      </c>
      <c r="O8" s="11" t="s">
        <v>26</v>
      </c>
      <c r="P8" s="11" t="s">
        <v>27</v>
      </c>
      <c r="Q8" s="11" t="s">
        <v>40</v>
      </c>
    </row>
    <row r="9">
      <c r="A9" s="30" t="s">
        <v>20</v>
      </c>
      <c r="B9" s="12" t="s">
        <v>21</v>
      </c>
      <c r="C9" s="13"/>
      <c r="D9" s="11" t="s">
        <v>22</v>
      </c>
      <c r="E9" s="31">
        <v>47165.0</v>
      </c>
      <c r="F9" s="11" t="s">
        <v>22</v>
      </c>
      <c r="G9" s="11" t="s">
        <v>23</v>
      </c>
      <c r="H9" s="11" t="s">
        <v>41</v>
      </c>
      <c r="I9" s="11">
        <v>11000.0</v>
      </c>
      <c r="J9" s="11">
        <f t="shared" si="1"/>
        <v>3</v>
      </c>
      <c r="K9" s="36">
        <v>45957.0</v>
      </c>
      <c r="L9" s="36">
        <v>45979.0</v>
      </c>
      <c r="M9" s="11" t="s">
        <v>42</v>
      </c>
      <c r="N9" s="11" t="str">
        <f t="shared" si="2"/>
        <v>Lot 1.2-1
Lot 1.2-2
Lot 1.2-3</v>
      </c>
      <c r="O9" s="11" t="s">
        <v>26</v>
      </c>
      <c r="P9" s="11" t="s">
        <v>27</v>
      </c>
      <c r="Q9" s="11" t="s">
        <v>43</v>
      </c>
    </row>
    <row r="10">
      <c r="E10" s="37"/>
      <c r="K10" s="2"/>
      <c r="L10" s="2"/>
    </row>
    <row r="11">
      <c r="E11" s="37"/>
      <c r="K11" s="2"/>
      <c r="L11" s="2"/>
    </row>
    <row r="12">
      <c r="E12" s="37"/>
      <c r="K12" s="2"/>
      <c r="L12" s="2"/>
    </row>
    <row r="13">
      <c r="E13" s="37"/>
      <c r="K13" s="2"/>
      <c r="L13" s="2"/>
    </row>
    <row r="14">
      <c r="E14" s="37"/>
      <c r="K14" s="2"/>
      <c r="L14" s="2"/>
    </row>
    <row r="15">
      <c r="E15" s="37"/>
      <c r="K15" s="2"/>
      <c r="L15" s="2"/>
    </row>
    <row r="16">
      <c r="E16" s="37"/>
      <c r="K16" s="2"/>
      <c r="L16" s="2"/>
    </row>
    <row r="17">
      <c r="E17" s="37"/>
      <c r="K17" s="2"/>
      <c r="L17" s="2"/>
    </row>
    <row r="18">
      <c r="E18" s="37"/>
      <c r="K18" s="2"/>
      <c r="L18" s="2"/>
    </row>
    <row r="19">
      <c r="E19" s="37"/>
      <c r="K19" s="2"/>
      <c r="L19" s="2"/>
    </row>
    <row r="20">
      <c r="E20" s="37"/>
      <c r="K20" s="2"/>
      <c r="L20" s="2"/>
    </row>
    <row r="21">
      <c r="E21" s="37"/>
      <c r="K21" s="2"/>
      <c r="L21" s="2"/>
    </row>
    <row r="22">
      <c r="E22" s="37"/>
      <c r="K22" s="2"/>
      <c r="L22" s="2"/>
    </row>
    <row r="23">
      <c r="E23" s="37"/>
      <c r="K23" s="2"/>
      <c r="L23" s="2"/>
    </row>
    <row r="24">
      <c r="E24" s="37"/>
      <c r="K24" s="2"/>
      <c r="L24" s="2"/>
    </row>
    <row r="25">
      <c r="E25" s="37"/>
      <c r="K25" s="2"/>
      <c r="L25" s="2"/>
    </row>
    <row r="26">
      <c r="E26" s="37"/>
      <c r="K26" s="2"/>
      <c r="L26" s="2"/>
    </row>
    <row r="27">
      <c r="E27" s="37"/>
      <c r="K27" s="2"/>
      <c r="L27" s="2"/>
    </row>
    <row r="28">
      <c r="E28" s="37"/>
      <c r="K28" s="2"/>
      <c r="L28" s="2"/>
    </row>
    <row r="29">
      <c r="E29" s="37"/>
      <c r="K29" s="2"/>
      <c r="L29" s="2"/>
    </row>
    <row r="30">
      <c r="E30" s="37"/>
      <c r="K30" s="2"/>
      <c r="L30" s="2"/>
    </row>
    <row r="31">
      <c r="E31" s="37"/>
      <c r="K31" s="2"/>
      <c r="L31" s="2"/>
    </row>
    <row r="32">
      <c r="E32" s="37"/>
      <c r="K32" s="2"/>
      <c r="L32" s="2"/>
    </row>
    <row r="33">
      <c r="E33" s="37"/>
      <c r="K33" s="2"/>
      <c r="L33" s="2"/>
    </row>
    <row r="34">
      <c r="E34" s="37"/>
      <c r="K34" s="2"/>
      <c r="L34" s="2"/>
    </row>
    <row r="35">
      <c r="E35" s="37"/>
      <c r="K35" s="2"/>
      <c r="L35" s="2"/>
    </row>
    <row r="36">
      <c r="E36" s="37"/>
      <c r="K36" s="2"/>
      <c r="L36" s="2"/>
    </row>
    <row r="37">
      <c r="E37" s="37"/>
      <c r="K37" s="2"/>
      <c r="L37" s="2"/>
    </row>
    <row r="38">
      <c r="E38" s="37"/>
      <c r="K38" s="2"/>
      <c r="L38" s="2"/>
    </row>
    <row r="39">
      <c r="E39" s="37"/>
      <c r="K39" s="2"/>
      <c r="L39" s="2"/>
    </row>
    <row r="40">
      <c r="E40" s="37"/>
      <c r="K40" s="2"/>
      <c r="L40" s="2"/>
    </row>
    <row r="41">
      <c r="E41" s="37"/>
      <c r="K41" s="2"/>
      <c r="L41" s="2"/>
    </row>
    <row r="42">
      <c r="E42" s="37"/>
      <c r="K42" s="2"/>
      <c r="L42" s="2"/>
    </row>
    <row r="43">
      <c r="E43" s="37"/>
      <c r="K43" s="2"/>
      <c r="L43" s="2"/>
    </row>
    <row r="44">
      <c r="E44" s="37"/>
      <c r="K44" s="2"/>
      <c r="L44" s="2"/>
    </row>
    <row r="45">
      <c r="E45" s="37"/>
      <c r="K45" s="2"/>
      <c r="L45" s="2"/>
    </row>
    <row r="46">
      <c r="E46" s="37"/>
      <c r="K46" s="2"/>
      <c r="L46" s="2"/>
    </row>
    <row r="47">
      <c r="E47" s="37"/>
      <c r="K47" s="2"/>
      <c r="L47" s="2"/>
    </row>
    <row r="48">
      <c r="E48" s="37"/>
      <c r="K48" s="2"/>
      <c r="L48" s="2"/>
    </row>
    <row r="49">
      <c r="E49" s="37"/>
      <c r="K49" s="2"/>
      <c r="L49" s="2"/>
    </row>
    <row r="50">
      <c r="E50" s="37"/>
      <c r="K50" s="2"/>
      <c r="L50" s="2"/>
    </row>
    <row r="51">
      <c r="E51" s="37"/>
      <c r="K51" s="2"/>
      <c r="L51" s="2"/>
    </row>
    <row r="52">
      <c r="E52" s="37"/>
      <c r="K52" s="2"/>
      <c r="L52" s="2"/>
    </row>
    <row r="53">
      <c r="E53" s="37"/>
      <c r="K53" s="2"/>
      <c r="L53" s="2"/>
    </row>
    <row r="54">
      <c r="E54" s="37"/>
      <c r="K54" s="2"/>
      <c r="L54" s="2"/>
    </row>
    <row r="55">
      <c r="E55" s="37"/>
      <c r="K55" s="2"/>
      <c r="L55" s="2"/>
    </row>
    <row r="56">
      <c r="E56" s="37"/>
      <c r="K56" s="2"/>
      <c r="L56" s="2"/>
    </row>
    <row r="57">
      <c r="E57" s="37"/>
      <c r="K57" s="2"/>
      <c r="L57" s="2"/>
    </row>
    <row r="58">
      <c r="E58" s="37"/>
      <c r="K58" s="2"/>
      <c r="L58" s="2"/>
    </row>
    <row r="59">
      <c r="E59" s="37"/>
      <c r="K59" s="2"/>
      <c r="L59" s="2"/>
    </row>
    <row r="60">
      <c r="E60" s="37"/>
      <c r="K60" s="2"/>
      <c r="L60" s="2"/>
    </row>
    <row r="61">
      <c r="E61" s="37"/>
      <c r="K61" s="2"/>
      <c r="L61" s="2"/>
    </row>
    <row r="62">
      <c r="E62" s="37"/>
      <c r="K62" s="2"/>
      <c r="L62" s="2"/>
    </row>
    <row r="63">
      <c r="E63" s="37"/>
      <c r="K63" s="2"/>
      <c r="L63" s="2"/>
    </row>
    <row r="64">
      <c r="E64" s="37"/>
      <c r="K64" s="2"/>
      <c r="L64" s="2"/>
    </row>
    <row r="65">
      <c r="E65" s="37"/>
      <c r="K65" s="2"/>
      <c r="L65" s="2"/>
    </row>
    <row r="66">
      <c r="E66" s="37"/>
      <c r="K66" s="2"/>
      <c r="L66" s="2"/>
    </row>
    <row r="67">
      <c r="E67" s="37"/>
      <c r="K67" s="2"/>
      <c r="L67" s="2"/>
    </row>
    <row r="68">
      <c r="E68" s="37"/>
      <c r="K68" s="2"/>
      <c r="L68" s="2"/>
    </row>
    <row r="69">
      <c r="E69" s="37"/>
      <c r="K69" s="2"/>
      <c r="L69" s="2"/>
    </row>
    <row r="70">
      <c r="E70" s="37"/>
      <c r="K70" s="2"/>
      <c r="L70" s="2"/>
    </row>
    <row r="71">
      <c r="E71" s="37"/>
      <c r="K71" s="2"/>
      <c r="L71" s="2"/>
    </row>
    <row r="72">
      <c r="E72" s="37"/>
      <c r="K72" s="2"/>
      <c r="L72" s="2"/>
    </row>
    <row r="73">
      <c r="E73" s="37"/>
      <c r="K73" s="2"/>
      <c r="L73" s="2"/>
    </row>
    <row r="74">
      <c r="E74" s="37"/>
      <c r="K74" s="2"/>
      <c r="L74" s="2"/>
    </row>
    <row r="75">
      <c r="E75" s="37"/>
      <c r="K75" s="2"/>
      <c r="L75" s="2"/>
    </row>
    <row r="76">
      <c r="E76" s="37"/>
      <c r="K76" s="2"/>
      <c r="L76" s="2"/>
    </row>
    <row r="77">
      <c r="E77" s="37"/>
      <c r="K77" s="2"/>
      <c r="L77" s="2"/>
    </row>
    <row r="78">
      <c r="E78" s="37"/>
      <c r="K78" s="2"/>
      <c r="L78" s="2"/>
    </row>
    <row r="79">
      <c r="E79" s="37"/>
      <c r="K79" s="2"/>
      <c r="L79" s="2"/>
    </row>
    <row r="80">
      <c r="E80" s="37"/>
      <c r="K80" s="2"/>
      <c r="L80" s="2"/>
    </row>
    <row r="81">
      <c r="E81" s="37"/>
      <c r="K81" s="2"/>
      <c r="L81" s="2"/>
    </row>
    <row r="82">
      <c r="E82" s="37"/>
      <c r="K82" s="2"/>
      <c r="L82" s="2"/>
    </row>
    <row r="83">
      <c r="E83" s="37"/>
      <c r="K83" s="2"/>
      <c r="L83" s="2"/>
    </row>
    <row r="84">
      <c r="E84" s="37"/>
      <c r="K84" s="2"/>
      <c r="L84" s="2"/>
    </row>
    <row r="85">
      <c r="E85" s="37"/>
      <c r="K85" s="2"/>
      <c r="L85" s="2"/>
    </row>
    <row r="86">
      <c r="E86" s="37"/>
      <c r="K86" s="2"/>
      <c r="L86" s="2"/>
    </row>
    <row r="87">
      <c r="E87" s="37"/>
      <c r="K87" s="2"/>
      <c r="L87" s="2"/>
    </row>
    <row r="88">
      <c r="E88" s="37"/>
      <c r="K88" s="2"/>
      <c r="L88" s="2"/>
    </row>
    <row r="89">
      <c r="E89" s="37"/>
      <c r="K89" s="2"/>
      <c r="L89" s="2"/>
    </row>
    <row r="90">
      <c r="E90" s="37"/>
      <c r="K90" s="2"/>
      <c r="L90" s="2"/>
    </row>
    <row r="91">
      <c r="E91" s="37"/>
      <c r="K91" s="2"/>
      <c r="L91" s="2"/>
    </row>
    <row r="92">
      <c r="E92" s="37"/>
      <c r="K92" s="2"/>
      <c r="L92" s="2"/>
    </row>
    <row r="93">
      <c r="E93" s="37"/>
      <c r="K93" s="2"/>
      <c r="L93" s="2"/>
    </row>
    <row r="94">
      <c r="E94" s="37"/>
      <c r="K94" s="2"/>
      <c r="L94" s="2"/>
    </row>
    <row r="95">
      <c r="E95" s="37"/>
      <c r="K95" s="2"/>
      <c r="L95" s="2"/>
    </row>
    <row r="96">
      <c r="E96" s="37"/>
      <c r="K96" s="2"/>
      <c r="L96" s="2"/>
    </row>
    <row r="97">
      <c r="E97" s="37"/>
      <c r="K97" s="2"/>
      <c r="L97" s="2"/>
    </row>
    <row r="98">
      <c r="E98" s="37"/>
      <c r="K98" s="2"/>
      <c r="L98" s="2"/>
    </row>
    <row r="99">
      <c r="E99" s="37"/>
      <c r="K99" s="2"/>
      <c r="L99" s="2"/>
    </row>
    <row r="100">
      <c r="E100" s="37"/>
      <c r="K100" s="2"/>
      <c r="L100" s="2"/>
    </row>
    <row r="101">
      <c r="E101" s="37"/>
      <c r="K101" s="2"/>
      <c r="L101" s="2"/>
    </row>
    <row r="102">
      <c r="E102" s="37"/>
      <c r="K102" s="2"/>
      <c r="L102" s="2"/>
    </row>
    <row r="103">
      <c r="E103" s="37"/>
      <c r="K103" s="2"/>
      <c r="L103" s="2"/>
    </row>
    <row r="104">
      <c r="E104" s="37"/>
      <c r="K104" s="2"/>
      <c r="L104" s="2"/>
    </row>
    <row r="105">
      <c r="E105" s="37"/>
      <c r="K105" s="2"/>
      <c r="L105" s="2"/>
    </row>
    <row r="106">
      <c r="E106" s="37"/>
      <c r="K106" s="2"/>
      <c r="L106" s="2"/>
    </row>
    <row r="107">
      <c r="E107" s="37"/>
      <c r="K107" s="2"/>
      <c r="L107" s="2"/>
    </row>
    <row r="108">
      <c r="E108" s="37"/>
      <c r="K108" s="2"/>
      <c r="L108" s="2"/>
    </row>
    <row r="109">
      <c r="E109" s="37"/>
      <c r="K109" s="2"/>
      <c r="L109" s="2"/>
    </row>
    <row r="110">
      <c r="E110" s="37"/>
      <c r="K110" s="2"/>
      <c r="L110" s="2"/>
    </row>
    <row r="111">
      <c r="E111" s="37"/>
      <c r="K111" s="2"/>
      <c r="L111" s="2"/>
    </row>
    <row r="112">
      <c r="E112" s="37"/>
      <c r="K112" s="2"/>
      <c r="L112" s="2"/>
    </row>
    <row r="113">
      <c r="E113" s="37"/>
      <c r="K113" s="2"/>
      <c r="L113" s="2"/>
    </row>
    <row r="114">
      <c r="E114" s="37"/>
      <c r="K114" s="2"/>
      <c r="L114" s="2"/>
    </row>
    <row r="115">
      <c r="E115" s="37"/>
      <c r="K115" s="2"/>
      <c r="L115" s="2"/>
    </row>
    <row r="116">
      <c r="E116" s="37"/>
      <c r="K116" s="2"/>
      <c r="L116" s="2"/>
    </row>
    <row r="117">
      <c r="E117" s="37"/>
      <c r="K117" s="2"/>
      <c r="L117" s="2"/>
    </row>
    <row r="118">
      <c r="E118" s="37"/>
      <c r="K118" s="2"/>
      <c r="L118" s="2"/>
    </row>
    <row r="119">
      <c r="E119" s="37"/>
      <c r="K119" s="2"/>
      <c r="L119" s="2"/>
    </row>
    <row r="120">
      <c r="E120" s="37"/>
      <c r="K120" s="2"/>
      <c r="L120" s="2"/>
    </row>
    <row r="121">
      <c r="E121" s="37"/>
      <c r="K121" s="2"/>
      <c r="L121" s="2"/>
    </row>
    <row r="122">
      <c r="E122" s="37"/>
      <c r="K122" s="2"/>
      <c r="L122" s="2"/>
    </row>
    <row r="123">
      <c r="E123" s="37"/>
      <c r="K123" s="2"/>
      <c r="L123" s="2"/>
    </row>
    <row r="124">
      <c r="E124" s="37"/>
      <c r="K124" s="2"/>
      <c r="L124" s="2"/>
    </row>
    <row r="125">
      <c r="E125" s="37"/>
      <c r="K125" s="2"/>
      <c r="L125" s="2"/>
    </row>
    <row r="126">
      <c r="E126" s="37"/>
      <c r="K126" s="2"/>
      <c r="L126" s="2"/>
    </row>
    <row r="127">
      <c r="E127" s="37"/>
      <c r="K127" s="2"/>
      <c r="L127" s="2"/>
    </row>
    <row r="128">
      <c r="E128" s="37"/>
      <c r="K128" s="2"/>
      <c r="L128" s="2"/>
    </row>
    <row r="129">
      <c r="E129" s="37"/>
      <c r="K129" s="2"/>
      <c r="L129" s="2"/>
    </row>
    <row r="130">
      <c r="E130" s="37"/>
      <c r="K130" s="2"/>
      <c r="L130" s="2"/>
    </row>
    <row r="131">
      <c r="E131" s="37"/>
      <c r="K131" s="2"/>
      <c r="L131" s="2"/>
    </row>
    <row r="132">
      <c r="E132" s="37"/>
      <c r="K132" s="2"/>
      <c r="L132" s="2"/>
    </row>
    <row r="133">
      <c r="E133" s="37"/>
      <c r="K133" s="2"/>
      <c r="L133" s="2"/>
    </row>
    <row r="134">
      <c r="E134" s="37"/>
      <c r="K134" s="2"/>
      <c r="L134" s="2"/>
    </row>
    <row r="135">
      <c r="E135" s="37"/>
      <c r="K135" s="2"/>
      <c r="L135" s="2"/>
    </row>
    <row r="136">
      <c r="E136" s="37"/>
      <c r="K136" s="2"/>
      <c r="L136" s="2"/>
    </row>
    <row r="137">
      <c r="E137" s="37"/>
      <c r="K137" s="2"/>
      <c r="L137" s="2"/>
    </row>
    <row r="138">
      <c r="E138" s="37"/>
      <c r="K138" s="2"/>
      <c r="L138" s="2"/>
    </row>
    <row r="139">
      <c r="E139" s="37"/>
      <c r="K139" s="2"/>
      <c r="L139" s="2"/>
    </row>
    <row r="140">
      <c r="E140" s="37"/>
      <c r="K140" s="2"/>
      <c r="L140" s="2"/>
    </row>
    <row r="141">
      <c r="E141" s="37"/>
      <c r="K141" s="2"/>
      <c r="L141" s="2"/>
    </row>
    <row r="142">
      <c r="E142" s="37"/>
      <c r="K142" s="2"/>
      <c r="L142" s="2"/>
    </row>
    <row r="143">
      <c r="E143" s="37"/>
      <c r="K143" s="2"/>
      <c r="L143" s="2"/>
    </row>
    <row r="144">
      <c r="E144" s="37"/>
      <c r="K144" s="2"/>
      <c r="L144" s="2"/>
    </row>
    <row r="145">
      <c r="E145" s="37"/>
      <c r="K145" s="2"/>
      <c r="L145" s="2"/>
    </row>
    <row r="146">
      <c r="E146" s="37"/>
      <c r="K146" s="2"/>
      <c r="L146" s="2"/>
    </row>
    <row r="147">
      <c r="E147" s="37"/>
      <c r="K147" s="2"/>
      <c r="L147" s="2"/>
    </row>
    <row r="148">
      <c r="E148" s="37"/>
      <c r="K148" s="2"/>
      <c r="L148" s="2"/>
    </row>
    <row r="149">
      <c r="E149" s="37"/>
      <c r="K149" s="2"/>
      <c r="L149" s="2"/>
    </row>
    <row r="150">
      <c r="E150" s="37"/>
      <c r="K150" s="2"/>
      <c r="L150" s="2"/>
    </row>
    <row r="151">
      <c r="E151" s="37"/>
      <c r="K151" s="2"/>
      <c r="L151" s="2"/>
    </row>
    <row r="152">
      <c r="E152" s="37"/>
      <c r="K152" s="2"/>
      <c r="L152" s="2"/>
    </row>
    <row r="153">
      <c r="E153" s="37"/>
      <c r="K153" s="2"/>
      <c r="L153" s="2"/>
    </row>
    <row r="154">
      <c r="E154" s="37"/>
      <c r="K154" s="2"/>
      <c r="L154" s="2"/>
    </row>
    <row r="155">
      <c r="E155" s="37"/>
      <c r="K155" s="2"/>
      <c r="L155" s="2"/>
    </row>
    <row r="156">
      <c r="E156" s="37"/>
      <c r="K156" s="2"/>
      <c r="L156" s="2"/>
    </row>
    <row r="157">
      <c r="E157" s="37"/>
      <c r="K157" s="2"/>
      <c r="L157" s="2"/>
    </row>
    <row r="158">
      <c r="E158" s="37"/>
      <c r="K158" s="2"/>
      <c r="L158" s="2"/>
    </row>
    <row r="159">
      <c r="E159" s="37"/>
      <c r="K159" s="2"/>
      <c r="L159" s="2"/>
    </row>
    <row r="160">
      <c r="E160" s="37"/>
      <c r="K160" s="2"/>
      <c r="L160" s="2"/>
    </row>
    <row r="161">
      <c r="E161" s="37"/>
      <c r="K161" s="2"/>
      <c r="L161" s="2"/>
    </row>
    <row r="162">
      <c r="E162" s="37"/>
      <c r="K162" s="2"/>
      <c r="L162" s="2"/>
    </row>
    <row r="163">
      <c r="E163" s="37"/>
      <c r="K163" s="2"/>
      <c r="L163" s="2"/>
    </row>
    <row r="164">
      <c r="E164" s="37"/>
      <c r="K164" s="2"/>
      <c r="L164" s="2"/>
    </row>
    <row r="165">
      <c r="E165" s="37"/>
      <c r="K165" s="2"/>
      <c r="L165" s="2"/>
    </row>
    <row r="166">
      <c r="E166" s="37"/>
      <c r="K166" s="2"/>
      <c r="L166" s="2"/>
    </row>
    <row r="167">
      <c r="E167" s="37"/>
      <c r="K167" s="2"/>
      <c r="L167" s="2"/>
    </row>
    <row r="168">
      <c r="E168" s="37"/>
      <c r="K168" s="2"/>
      <c r="L168" s="2"/>
    </row>
    <row r="169">
      <c r="E169" s="37"/>
      <c r="K169" s="2"/>
      <c r="L169" s="2"/>
    </row>
    <row r="170">
      <c r="E170" s="37"/>
      <c r="K170" s="2"/>
      <c r="L170" s="2"/>
    </row>
    <row r="171">
      <c r="E171" s="37"/>
      <c r="K171" s="2"/>
      <c r="L171" s="2"/>
    </row>
    <row r="172">
      <c r="E172" s="37"/>
      <c r="K172" s="2"/>
      <c r="L172" s="2"/>
    </row>
    <row r="173">
      <c r="E173" s="37"/>
      <c r="K173" s="2"/>
      <c r="L173" s="2"/>
    </row>
    <row r="174">
      <c r="E174" s="37"/>
      <c r="K174" s="2"/>
      <c r="L174" s="2"/>
    </row>
    <row r="175">
      <c r="E175" s="37"/>
      <c r="K175" s="2"/>
      <c r="L175" s="2"/>
    </row>
    <row r="176">
      <c r="E176" s="37"/>
      <c r="K176" s="2"/>
      <c r="L176" s="2"/>
    </row>
    <row r="177">
      <c r="E177" s="37"/>
      <c r="K177" s="2"/>
      <c r="L177" s="2"/>
    </row>
    <row r="178">
      <c r="E178" s="37"/>
      <c r="K178" s="2"/>
      <c r="L178" s="2"/>
    </row>
    <row r="179">
      <c r="E179" s="37"/>
      <c r="K179" s="2"/>
      <c r="L179" s="2"/>
    </row>
    <row r="180">
      <c r="E180" s="37"/>
      <c r="K180" s="2"/>
      <c r="L180" s="2"/>
    </row>
    <row r="181">
      <c r="E181" s="37"/>
      <c r="K181" s="2"/>
      <c r="L181" s="2"/>
    </row>
    <row r="182">
      <c r="E182" s="37"/>
      <c r="K182" s="2"/>
      <c r="L182" s="2"/>
    </row>
    <row r="183">
      <c r="E183" s="37"/>
      <c r="K183" s="2"/>
      <c r="L183" s="2"/>
    </row>
    <row r="184">
      <c r="E184" s="37"/>
      <c r="K184" s="2"/>
      <c r="L184" s="2"/>
    </row>
    <row r="185">
      <c r="E185" s="37"/>
      <c r="K185" s="2"/>
      <c r="L185" s="2"/>
    </row>
    <row r="186">
      <c r="E186" s="37"/>
      <c r="K186" s="2"/>
      <c r="L186" s="2"/>
    </row>
    <row r="187">
      <c r="E187" s="37"/>
      <c r="K187" s="2"/>
      <c r="L187" s="2"/>
    </row>
    <row r="188">
      <c r="E188" s="37"/>
      <c r="K188" s="2"/>
      <c r="L188" s="2"/>
    </row>
    <row r="189">
      <c r="E189" s="37"/>
      <c r="K189" s="2"/>
      <c r="L189" s="2"/>
    </row>
    <row r="190">
      <c r="E190" s="37"/>
      <c r="K190" s="2"/>
      <c r="L190" s="2"/>
    </row>
    <row r="191">
      <c r="E191" s="37"/>
      <c r="K191" s="2"/>
      <c r="L191" s="2"/>
    </row>
    <row r="192">
      <c r="E192" s="37"/>
      <c r="K192" s="2"/>
      <c r="L192" s="2"/>
    </row>
    <row r="193">
      <c r="E193" s="37"/>
      <c r="K193" s="2"/>
      <c r="L193" s="2"/>
    </row>
    <row r="194">
      <c r="E194" s="37"/>
      <c r="K194" s="2"/>
      <c r="L194" s="2"/>
    </row>
    <row r="195">
      <c r="E195" s="37"/>
      <c r="K195" s="2"/>
      <c r="L195" s="2"/>
    </row>
    <row r="196">
      <c r="E196" s="37"/>
      <c r="K196" s="2"/>
      <c r="L196" s="2"/>
    </row>
    <row r="197">
      <c r="E197" s="37"/>
      <c r="K197" s="2"/>
      <c r="L197" s="2"/>
    </row>
    <row r="198">
      <c r="E198" s="37"/>
      <c r="K198" s="2"/>
      <c r="L198" s="2"/>
    </row>
    <row r="199">
      <c r="E199" s="37"/>
      <c r="K199" s="2"/>
      <c r="L199" s="2"/>
    </row>
    <row r="200">
      <c r="E200" s="37"/>
      <c r="K200" s="2"/>
      <c r="L200" s="2"/>
    </row>
    <row r="201">
      <c r="E201" s="37"/>
      <c r="K201" s="2"/>
      <c r="L201" s="2"/>
    </row>
    <row r="202">
      <c r="E202" s="37"/>
      <c r="K202" s="2"/>
      <c r="L202" s="2"/>
    </row>
    <row r="203">
      <c r="E203" s="37"/>
      <c r="K203" s="2"/>
      <c r="L203" s="2"/>
    </row>
    <row r="204">
      <c r="E204" s="37"/>
      <c r="K204" s="2"/>
      <c r="L204" s="2"/>
    </row>
    <row r="205">
      <c r="E205" s="37"/>
      <c r="K205" s="2"/>
      <c r="L205" s="2"/>
    </row>
    <row r="206">
      <c r="E206" s="37"/>
      <c r="K206" s="2"/>
      <c r="L206" s="2"/>
    </row>
    <row r="207">
      <c r="E207" s="37"/>
      <c r="K207" s="2"/>
      <c r="L207" s="2"/>
    </row>
    <row r="208">
      <c r="E208" s="37"/>
      <c r="K208" s="2"/>
      <c r="L208" s="2"/>
    </row>
    <row r="209">
      <c r="E209" s="37"/>
      <c r="K209" s="2"/>
      <c r="L209" s="2"/>
    </row>
    <row r="210">
      <c r="E210" s="37"/>
      <c r="K210" s="2"/>
      <c r="L210" s="2"/>
    </row>
    <row r="211">
      <c r="E211" s="37"/>
      <c r="K211" s="2"/>
      <c r="L211" s="2"/>
    </row>
    <row r="212">
      <c r="E212" s="37"/>
      <c r="K212" s="2"/>
      <c r="L212" s="2"/>
    </row>
    <row r="213">
      <c r="E213" s="37"/>
      <c r="K213" s="2"/>
      <c r="L213" s="2"/>
    </row>
    <row r="214">
      <c r="E214" s="37"/>
      <c r="K214" s="2"/>
      <c r="L214" s="2"/>
    </row>
    <row r="215">
      <c r="E215" s="37"/>
      <c r="K215" s="2"/>
      <c r="L215" s="2"/>
    </row>
    <row r="216">
      <c r="E216" s="37"/>
      <c r="K216" s="2"/>
      <c r="L216" s="2"/>
    </row>
    <row r="217">
      <c r="E217" s="37"/>
      <c r="K217" s="2"/>
      <c r="L217" s="2"/>
    </row>
    <row r="218">
      <c r="E218" s="37"/>
      <c r="K218" s="2"/>
      <c r="L218" s="2"/>
    </row>
    <row r="219">
      <c r="E219" s="37"/>
      <c r="K219" s="2"/>
      <c r="L219" s="2"/>
    </row>
    <row r="220">
      <c r="E220" s="37"/>
      <c r="K220" s="2"/>
      <c r="L220" s="2"/>
    </row>
    <row r="221">
      <c r="E221" s="37"/>
      <c r="K221" s="2"/>
      <c r="L221" s="2"/>
    </row>
    <row r="222">
      <c r="E222" s="37"/>
      <c r="K222" s="2"/>
      <c r="L222" s="2"/>
    </row>
    <row r="223">
      <c r="E223" s="37"/>
      <c r="K223" s="2"/>
      <c r="L223" s="2"/>
    </row>
    <row r="224">
      <c r="E224" s="37"/>
      <c r="K224" s="2"/>
      <c r="L224" s="2"/>
    </row>
    <row r="225">
      <c r="E225" s="37"/>
      <c r="K225" s="2"/>
      <c r="L225" s="2"/>
    </row>
    <row r="226">
      <c r="E226" s="37"/>
      <c r="K226" s="2"/>
      <c r="L226" s="2"/>
    </row>
    <row r="227">
      <c r="E227" s="37"/>
      <c r="K227" s="2"/>
      <c r="L227" s="2"/>
    </row>
    <row r="228">
      <c r="E228" s="37"/>
      <c r="K228" s="2"/>
      <c r="L228" s="2"/>
    </row>
    <row r="229">
      <c r="E229" s="37"/>
      <c r="K229" s="2"/>
      <c r="L229" s="2"/>
    </row>
    <row r="230">
      <c r="E230" s="37"/>
      <c r="K230" s="2"/>
      <c r="L230" s="2"/>
    </row>
    <row r="231">
      <c r="E231" s="37"/>
      <c r="K231" s="2"/>
      <c r="L231" s="2"/>
    </row>
    <row r="232">
      <c r="E232" s="37"/>
      <c r="K232" s="2"/>
      <c r="L232" s="2"/>
    </row>
    <row r="233">
      <c r="E233" s="37"/>
      <c r="K233" s="2"/>
      <c r="L233" s="2"/>
    </row>
    <row r="234">
      <c r="E234" s="37"/>
      <c r="K234" s="2"/>
      <c r="L234" s="2"/>
    </row>
    <row r="235">
      <c r="E235" s="37"/>
      <c r="K235" s="2"/>
      <c r="L235" s="2"/>
    </row>
    <row r="236">
      <c r="E236" s="37"/>
      <c r="K236" s="2"/>
      <c r="L236" s="2"/>
    </row>
    <row r="237">
      <c r="E237" s="37"/>
      <c r="K237" s="2"/>
      <c r="L237" s="2"/>
    </row>
    <row r="238">
      <c r="E238" s="37"/>
      <c r="K238" s="2"/>
      <c r="L238" s="2"/>
    </row>
    <row r="239">
      <c r="E239" s="37"/>
      <c r="K239" s="2"/>
      <c r="L239" s="2"/>
    </row>
    <row r="240">
      <c r="E240" s="37"/>
      <c r="K240" s="2"/>
      <c r="L240" s="2"/>
    </row>
    <row r="241">
      <c r="E241" s="37"/>
      <c r="K241" s="2"/>
      <c r="L241" s="2"/>
    </row>
    <row r="242">
      <c r="E242" s="37"/>
      <c r="K242" s="2"/>
      <c r="L242" s="2"/>
    </row>
    <row r="243">
      <c r="E243" s="37"/>
      <c r="K243" s="2"/>
      <c r="L243" s="2"/>
    </row>
    <row r="244">
      <c r="E244" s="37"/>
      <c r="K244" s="2"/>
      <c r="L244" s="2"/>
    </row>
    <row r="245">
      <c r="E245" s="37"/>
      <c r="K245" s="2"/>
      <c r="L245" s="2"/>
    </row>
    <row r="246">
      <c r="E246" s="37"/>
      <c r="K246" s="2"/>
      <c r="L246" s="2"/>
    </row>
    <row r="247">
      <c r="E247" s="37"/>
      <c r="K247" s="2"/>
      <c r="L247" s="2"/>
    </row>
    <row r="248">
      <c r="E248" s="37"/>
      <c r="K248" s="2"/>
      <c r="L248" s="2"/>
    </row>
    <row r="249">
      <c r="E249" s="37"/>
      <c r="K249" s="2"/>
      <c r="L249" s="2"/>
    </row>
    <row r="250">
      <c r="E250" s="37"/>
      <c r="K250" s="2"/>
      <c r="L250" s="2"/>
    </row>
    <row r="251">
      <c r="E251" s="37"/>
      <c r="K251" s="2"/>
      <c r="L251" s="2"/>
    </row>
    <row r="252">
      <c r="E252" s="37"/>
      <c r="K252" s="2"/>
      <c r="L252" s="2"/>
    </row>
    <row r="253">
      <c r="E253" s="37"/>
      <c r="K253" s="2"/>
      <c r="L253" s="2"/>
    </row>
    <row r="254">
      <c r="E254" s="37"/>
      <c r="K254" s="2"/>
      <c r="L254" s="2"/>
    </row>
    <row r="255">
      <c r="E255" s="37"/>
      <c r="K255" s="2"/>
      <c r="L255" s="2"/>
    </row>
    <row r="256">
      <c r="E256" s="37"/>
      <c r="K256" s="2"/>
      <c r="L256" s="2"/>
    </row>
    <row r="257">
      <c r="E257" s="37"/>
      <c r="K257" s="2"/>
      <c r="L257" s="2"/>
    </row>
    <row r="258">
      <c r="E258" s="37"/>
      <c r="K258" s="2"/>
      <c r="L258" s="2"/>
    </row>
    <row r="259">
      <c r="E259" s="37"/>
      <c r="K259" s="2"/>
      <c r="L259" s="2"/>
    </row>
    <row r="260">
      <c r="E260" s="37"/>
      <c r="K260" s="2"/>
      <c r="L260" s="2"/>
    </row>
    <row r="261">
      <c r="E261" s="37"/>
      <c r="K261" s="2"/>
      <c r="L261" s="2"/>
    </row>
    <row r="262">
      <c r="E262" s="37"/>
      <c r="K262" s="2"/>
      <c r="L262" s="2"/>
    </row>
    <row r="263">
      <c r="E263" s="37"/>
      <c r="K263" s="2"/>
      <c r="L263" s="2"/>
    </row>
    <row r="264">
      <c r="E264" s="37"/>
      <c r="K264" s="2"/>
      <c r="L264" s="2"/>
    </row>
    <row r="265">
      <c r="E265" s="37"/>
      <c r="K265" s="2"/>
      <c r="L265" s="2"/>
    </row>
    <row r="266">
      <c r="E266" s="37"/>
      <c r="K266" s="2"/>
      <c r="L266" s="2"/>
    </row>
    <row r="267">
      <c r="E267" s="37"/>
      <c r="K267" s="2"/>
      <c r="L267" s="2"/>
    </row>
    <row r="268">
      <c r="E268" s="37"/>
      <c r="K268" s="2"/>
      <c r="L268" s="2"/>
    </row>
    <row r="269">
      <c r="E269" s="37"/>
      <c r="K269" s="2"/>
      <c r="L269" s="2"/>
    </row>
    <row r="270">
      <c r="E270" s="37"/>
      <c r="K270" s="2"/>
      <c r="L270" s="2"/>
    </row>
    <row r="271">
      <c r="E271" s="37"/>
      <c r="K271" s="2"/>
      <c r="L271" s="2"/>
    </row>
    <row r="272">
      <c r="E272" s="37"/>
      <c r="K272" s="2"/>
      <c r="L272" s="2"/>
    </row>
    <row r="273">
      <c r="E273" s="37"/>
      <c r="K273" s="2"/>
      <c r="L273" s="2"/>
    </row>
    <row r="274">
      <c r="E274" s="37"/>
      <c r="K274" s="2"/>
      <c r="L274" s="2"/>
    </row>
    <row r="275">
      <c r="E275" s="37"/>
      <c r="K275" s="2"/>
      <c r="L275" s="2"/>
    </row>
    <row r="276">
      <c r="E276" s="37"/>
      <c r="K276" s="2"/>
      <c r="L276" s="2"/>
    </row>
    <row r="277">
      <c r="E277" s="37"/>
      <c r="K277" s="2"/>
      <c r="L277" s="2"/>
    </row>
    <row r="278">
      <c r="E278" s="37"/>
      <c r="K278" s="2"/>
      <c r="L278" s="2"/>
    </row>
    <row r="279">
      <c r="E279" s="37"/>
      <c r="K279" s="2"/>
      <c r="L279" s="2"/>
    </row>
    <row r="280">
      <c r="E280" s="37"/>
      <c r="K280" s="2"/>
      <c r="L280" s="2"/>
    </row>
    <row r="281">
      <c r="E281" s="37"/>
      <c r="K281" s="2"/>
      <c r="L281" s="2"/>
    </row>
    <row r="282">
      <c r="E282" s="37"/>
      <c r="K282" s="2"/>
      <c r="L282" s="2"/>
    </row>
    <row r="283">
      <c r="E283" s="37"/>
      <c r="K283" s="2"/>
      <c r="L283" s="2"/>
    </row>
    <row r="284">
      <c r="E284" s="37"/>
      <c r="K284" s="2"/>
      <c r="L284" s="2"/>
    </row>
    <row r="285">
      <c r="E285" s="37"/>
      <c r="K285" s="2"/>
      <c r="L285" s="2"/>
    </row>
    <row r="286">
      <c r="E286" s="37"/>
      <c r="K286" s="2"/>
      <c r="L286" s="2"/>
    </row>
    <row r="287">
      <c r="E287" s="37"/>
      <c r="K287" s="2"/>
      <c r="L287" s="2"/>
    </row>
    <row r="288">
      <c r="E288" s="37"/>
      <c r="K288" s="2"/>
      <c r="L288" s="2"/>
    </row>
    <row r="289">
      <c r="E289" s="37"/>
      <c r="K289" s="2"/>
      <c r="L289" s="2"/>
    </row>
    <row r="290">
      <c r="E290" s="37"/>
      <c r="K290" s="2"/>
      <c r="L290" s="2"/>
    </row>
    <row r="291">
      <c r="E291" s="37"/>
      <c r="K291" s="2"/>
      <c r="L291" s="2"/>
    </row>
    <row r="292">
      <c r="E292" s="37"/>
      <c r="K292" s="2"/>
      <c r="L292" s="2"/>
    </row>
    <row r="293">
      <c r="E293" s="37"/>
      <c r="K293" s="2"/>
      <c r="L293" s="2"/>
    </row>
    <row r="294">
      <c r="E294" s="37"/>
      <c r="K294" s="2"/>
      <c r="L294" s="2"/>
    </row>
    <row r="295">
      <c r="E295" s="37"/>
      <c r="K295" s="2"/>
      <c r="L295" s="2"/>
    </row>
    <row r="296">
      <c r="E296" s="37"/>
      <c r="K296" s="2"/>
      <c r="L296" s="2"/>
    </row>
    <row r="297">
      <c r="E297" s="37"/>
      <c r="K297" s="2"/>
      <c r="L297" s="2"/>
    </row>
    <row r="298">
      <c r="E298" s="37"/>
      <c r="K298" s="2"/>
      <c r="L298" s="2"/>
    </row>
    <row r="299">
      <c r="E299" s="37"/>
      <c r="K299" s="2"/>
      <c r="L299" s="2"/>
    </row>
    <row r="300">
      <c r="E300" s="37"/>
      <c r="K300" s="2"/>
      <c r="L300" s="2"/>
    </row>
    <row r="301">
      <c r="E301" s="37"/>
      <c r="K301" s="2"/>
      <c r="L301" s="2"/>
    </row>
    <row r="302">
      <c r="E302" s="37"/>
      <c r="K302" s="2"/>
      <c r="L302" s="2"/>
    </row>
    <row r="303">
      <c r="E303" s="37"/>
      <c r="K303" s="2"/>
      <c r="L303" s="2"/>
    </row>
    <row r="304">
      <c r="E304" s="37"/>
      <c r="K304" s="2"/>
      <c r="L304" s="2"/>
    </row>
    <row r="305">
      <c r="E305" s="37"/>
      <c r="K305" s="2"/>
      <c r="L305" s="2"/>
    </row>
    <row r="306">
      <c r="E306" s="37"/>
      <c r="K306" s="2"/>
      <c r="L306" s="2"/>
    </row>
    <row r="307">
      <c r="E307" s="37"/>
      <c r="K307" s="2"/>
      <c r="L307" s="2"/>
    </row>
    <row r="308">
      <c r="E308" s="37"/>
      <c r="K308" s="2"/>
      <c r="L308" s="2"/>
    </row>
    <row r="309">
      <c r="E309" s="37"/>
      <c r="K309" s="2"/>
      <c r="L309" s="2"/>
    </row>
    <row r="310">
      <c r="E310" s="37"/>
      <c r="K310" s="2"/>
      <c r="L310" s="2"/>
    </row>
    <row r="311">
      <c r="E311" s="37"/>
      <c r="K311" s="2"/>
      <c r="L311" s="2"/>
    </row>
    <row r="312">
      <c r="E312" s="37"/>
      <c r="K312" s="2"/>
      <c r="L312" s="2"/>
    </row>
    <row r="313">
      <c r="E313" s="37"/>
      <c r="K313" s="2"/>
      <c r="L313" s="2"/>
    </row>
    <row r="314">
      <c r="E314" s="37"/>
      <c r="K314" s="2"/>
      <c r="L314" s="2"/>
    </row>
    <row r="315">
      <c r="E315" s="37"/>
      <c r="K315" s="2"/>
      <c r="L315" s="2"/>
    </row>
    <row r="316">
      <c r="E316" s="37"/>
      <c r="K316" s="2"/>
      <c r="L316" s="2"/>
    </row>
    <row r="317">
      <c r="E317" s="37"/>
      <c r="K317" s="2"/>
      <c r="L317" s="2"/>
    </row>
    <row r="318">
      <c r="E318" s="37"/>
      <c r="K318" s="2"/>
      <c r="L318" s="2"/>
    </row>
    <row r="319">
      <c r="E319" s="37"/>
      <c r="K319" s="2"/>
      <c r="L319" s="2"/>
    </row>
    <row r="320">
      <c r="E320" s="37"/>
      <c r="K320" s="2"/>
      <c r="L320" s="2"/>
    </row>
    <row r="321">
      <c r="E321" s="37"/>
      <c r="K321" s="2"/>
      <c r="L321" s="2"/>
    </row>
    <row r="322">
      <c r="E322" s="37"/>
      <c r="K322" s="2"/>
      <c r="L322" s="2"/>
    </row>
    <row r="323">
      <c r="E323" s="37"/>
      <c r="K323" s="2"/>
      <c r="L323" s="2"/>
    </row>
    <row r="324">
      <c r="E324" s="37"/>
      <c r="K324" s="2"/>
      <c r="L324" s="2"/>
    </row>
    <row r="325">
      <c r="E325" s="37"/>
      <c r="K325" s="2"/>
      <c r="L325" s="2"/>
    </row>
    <row r="326">
      <c r="E326" s="37"/>
      <c r="K326" s="2"/>
      <c r="L326" s="2"/>
    </row>
    <row r="327">
      <c r="E327" s="37"/>
      <c r="K327" s="2"/>
      <c r="L327" s="2"/>
    </row>
    <row r="328">
      <c r="E328" s="37"/>
      <c r="K328" s="2"/>
      <c r="L328" s="2"/>
    </row>
    <row r="329">
      <c r="E329" s="37"/>
      <c r="K329" s="2"/>
      <c r="L329" s="2"/>
    </row>
    <row r="330">
      <c r="E330" s="37"/>
      <c r="K330" s="2"/>
      <c r="L330" s="2"/>
    </row>
    <row r="331">
      <c r="E331" s="37"/>
      <c r="K331" s="2"/>
      <c r="L331" s="2"/>
    </row>
    <row r="332">
      <c r="E332" s="37"/>
      <c r="K332" s="2"/>
      <c r="L332" s="2"/>
    </row>
    <row r="333">
      <c r="E333" s="37"/>
      <c r="K333" s="2"/>
      <c r="L333" s="2"/>
    </row>
    <row r="334">
      <c r="E334" s="37"/>
      <c r="K334" s="2"/>
      <c r="L334" s="2"/>
    </row>
    <row r="335">
      <c r="E335" s="37"/>
      <c r="K335" s="2"/>
      <c r="L335" s="2"/>
    </row>
    <row r="336">
      <c r="E336" s="37"/>
      <c r="K336" s="2"/>
      <c r="L336" s="2"/>
    </row>
    <row r="337">
      <c r="E337" s="37"/>
      <c r="K337" s="2"/>
      <c r="L337" s="2"/>
    </row>
    <row r="338">
      <c r="E338" s="37"/>
      <c r="K338" s="2"/>
      <c r="L338" s="2"/>
    </row>
    <row r="339">
      <c r="E339" s="37"/>
      <c r="K339" s="2"/>
      <c r="L339" s="2"/>
    </row>
    <row r="340">
      <c r="E340" s="37"/>
      <c r="K340" s="2"/>
      <c r="L340" s="2"/>
    </row>
    <row r="341">
      <c r="E341" s="37"/>
      <c r="K341" s="2"/>
      <c r="L341" s="2"/>
    </row>
    <row r="342">
      <c r="E342" s="37"/>
      <c r="K342" s="2"/>
      <c r="L342" s="2"/>
    </row>
    <row r="343">
      <c r="E343" s="37"/>
      <c r="K343" s="2"/>
      <c r="L343" s="2"/>
    </row>
    <row r="344">
      <c r="E344" s="37"/>
      <c r="K344" s="2"/>
      <c r="L344" s="2"/>
    </row>
    <row r="345">
      <c r="E345" s="37"/>
      <c r="K345" s="2"/>
      <c r="L345" s="2"/>
    </row>
    <row r="346">
      <c r="E346" s="37"/>
      <c r="K346" s="2"/>
      <c r="L346" s="2"/>
    </row>
    <row r="347">
      <c r="E347" s="37"/>
      <c r="K347" s="2"/>
      <c r="L347" s="2"/>
    </row>
    <row r="348">
      <c r="E348" s="37"/>
      <c r="K348" s="2"/>
      <c r="L348" s="2"/>
    </row>
    <row r="349">
      <c r="E349" s="37"/>
      <c r="K349" s="2"/>
      <c r="L349" s="2"/>
    </row>
    <row r="350">
      <c r="E350" s="37"/>
      <c r="K350" s="2"/>
      <c r="L350" s="2"/>
    </row>
    <row r="351">
      <c r="E351" s="37"/>
      <c r="K351" s="2"/>
      <c r="L351" s="2"/>
    </row>
    <row r="352">
      <c r="E352" s="37"/>
      <c r="K352" s="2"/>
      <c r="L352" s="2"/>
    </row>
    <row r="353">
      <c r="E353" s="37"/>
      <c r="K353" s="2"/>
      <c r="L353" s="2"/>
    </row>
    <row r="354">
      <c r="E354" s="37"/>
      <c r="K354" s="2"/>
      <c r="L354" s="2"/>
    </row>
    <row r="355">
      <c r="E355" s="37"/>
      <c r="K355" s="2"/>
      <c r="L355" s="2"/>
    </row>
    <row r="356">
      <c r="E356" s="37"/>
      <c r="K356" s="2"/>
      <c r="L356" s="2"/>
    </row>
    <row r="357">
      <c r="E357" s="37"/>
      <c r="K357" s="2"/>
      <c r="L357" s="2"/>
    </row>
    <row r="358">
      <c r="E358" s="37"/>
      <c r="K358" s="2"/>
      <c r="L358" s="2"/>
    </row>
    <row r="359">
      <c r="E359" s="37"/>
      <c r="K359" s="2"/>
      <c r="L359" s="2"/>
    </row>
    <row r="360">
      <c r="E360" s="37"/>
      <c r="K360" s="2"/>
      <c r="L360" s="2"/>
    </row>
    <row r="361">
      <c r="E361" s="37"/>
      <c r="K361" s="2"/>
      <c r="L361" s="2"/>
    </row>
    <row r="362">
      <c r="E362" s="37"/>
      <c r="K362" s="2"/>
      <c r="L362" s="2"/>
    </row>
    <row r="363">
      <c r="E363" s="37"/>
      <c r="K363" s="2"/>
      <c r="L363" s="2"/>
    </row>
    <row r="364">
      <c r="E364" s="37"/>
      <c r="K364" s="2"/>
      <c r="L364" s="2"/>
    </row>
    <row r="365">
      <c r="E365" s="37"/>
      <c r="K365" s="2"/>
      <c r="L365" s="2"/>
    </row>
    <row r="366">
      <c r="E366" s="37"/>
      <c r="K366" s="2"/>
      <c r="L366" s="2"/>
    </row>
    <row r="367">
      <c r="E367" s="37"/>
      <c r="K367" s="2"/>
      <c r="L367" s="2"/>
    </row>
    <row r="368">
      <c r="E368" s="37"/>
      <c r="K368" s="2"/>
      <c r="L368" s="2"/>
    </row>
    <row r="369">
      <c r="E369" s="37"/>
      <c r="K369" s="2"/>
      <c r="L369" s="2"/>
    </row>
    <row r="370">
      <c r="E370" s="37"/>
      <c r="K370" s="2"/>
      <c r="L370" s="2"/>
    </row>
    <row r="371">
      <c r="E371" s="37"/>
      <c r="K371" s="2"/>
      <c r="L371" s="2"/>
    </row>
    <row r="372">
      <c r="E372" s="37"/>
      <c r="K372" s="2"/>
      <c r="L372" s="2"/>
    </row>
    <row r="373">
      <c r="E373" s="37"/>
      <c r="K373" s="2"/>
      <c r="L373" s="2"/>
    </row>
    <row r="374">
      <c r="E374" s="37"/>
      <c r="K374" s="2"/>
      <c r="L374" s="2"/>
    </row>
    <row r="375">
      <c r="E375" s="37"/>
      <c r="K375" s="2"/>
      <c r="L375" s="2"/>
    </row>
    <row r="376">
      <c r="E376" s="37"/>
      <c r="K376" s="2"/>
      <c r="L376" s="2"/>
    </row>
    <row r="377">
      <c r="E377" s="37"/>
      <c r="K377" s="2"/>
      <c r="L377" s="2"/>
    </row>
    <row r="378">
      <c r="E378" s="37"/>
      <c r="K378" s="2"/>
      <c r="L378" s="2"/>
    </row>
    <row r="379">
      <c r="E379" s="37"/>
      <c r="K379" s="2"/>
      <c r="L379" s="2"/>
    </row>
    <row r="380">
      <c r="E380" s="37"/>
      <c r="K380" s="2"/>
      <c r="L380" s="2"/>
    </row>
    <row r="381">
      <c r="E381" s="37"/>
      <c r="K381" s="2"/>
      <c r="L381" s="2"/>
    </row>
    <row r="382">
      <c r="E382" s="37"/>
      <c r="K382" s="2"/>
      <c r="L382" s="2"/>
    </row>
    <row r="383">
      <c r="E383" s="37"/>
      <c r="K383" s="2"/>
      <c r="L383" s="2"/>
    </row>
    <row r="384">
      <c r="E384" s="37"/>
      <c r="K384" s="2"/>
      <c r="L384" s="2"/>
    </row>
    <row r="385">
      <c r="E385" s="37"/>
      <c r="K385" s="2"/>
      <c r="L385" s="2"/>
    </row>
    <row r="386">
      <c r="E386" s="37"/>
      <c r="K386" s="2"/>
      <c r="L386" s="2"/>
    </row>
    <row r="387">
      <c r="E387" s="37"/>
      <c r="K387" s="2"/>
      <c r="L387" s="2"/>
    </row>
    <row r="388">
      <c r="E388" s="37"/>
      <c r="K388" s="2"/>
      <c r="L388" s="2"/>
    </row>
    <row r="389">
      <c r="E389" s="37"/>
      <c r="K389" s="2"/>
      <c r="L389" s="2"/>
    </row>
    <row r="390">
      <c r="E390" s="37"/>
      <c r="K390" s="2"/>
      <c r="L390" s="2"/>
    </row>
    <row r="391">
      <c r="E391" s="37"/>
      <c r="K391" s="2"/>
      <c r="L391" s="2"/>
    </row>
    <row r="392">
      <c r="E392" s="37"/>
      <c r="K392" s="2"/>
      <c r="L392" s="2"/>
    </row>
    <row r="393">
      <c r="E393" s="37"/>
      <c r="K393" s="2"/>
      <c r="L393" s="2"/>
    </row>
    <row r="394">
      <c r="E394" s="37"/>
      <c r="K394" s="2"/>
      <c r="L394" s="2"/>
    </row>
    <row r="395">
      <c r="E395" s="37"/>
      <c r="K395" s="2"/>
      <c r="L395" s="2"/>
    </row>
    <row r="396">
      <c r="E396" s="37"/>
      <c r="K396" s="2"/>
      <c r="L396" s="2"/>
    </row>
    <row r="397">
      <c r="E397" s="37"/>
      <c r="K397" s="2"/>
      <c r="L397" s="2"/>
    </row>
    <row r="398">
      <c r="E398" s="37"/>
      <c r="K398" s="2"/>
      <c r="L398" s="2"/>
    </row>
    <row r="399">
      <c r="E399" s="37"/>
      <c r="K399" s="2"/>
      <c r="L399" s="2"/>
    </row>
    <row r="400">
      <c r="E400" s="37"/>
      <c r="K400" s="2"/>
      <c r="L400" s="2"/>
    </row>
    <row r="401">
      <c r="E401" s="37"/>
      <c r="K401" s="2"/>
      <c r="L401" s="2"/>
    </row>
    <row r="402">
      <c r="E402" s="37"/>
      <c r="K402" s="2"/>
      <c r="L402" s="2"/>
    </row>
    <row r="403">
      <c r="E403" s="37"/>
      <c r="K403" s="2"/>
      <c r="L403" s="2"/>
    </row>
    <row r="404">
      <c r="E404" s="37"/>
      <c r="K404" s="2"/>
      <c r="L404" s="2"/>
    </row>
    <row r="405">
      <c r="E405" s="37"/>
      <c r="K405" s="2"/>
      <c r="L405" s="2"/>
    </row>
    <row r="406">
      <c r="E406" s="37"/>
      <c r="K406" s="2"/>
      <c r="L406" s="2"/>
    </row>
    <row r="407">
      <c r="E407" s="37"/>
      <c r="K407" s="2"/>
      <c r="L407" s="2"/>
    </row>
    <row r="408">
      <c r="E408" s="37"/>
      <c r="K408" s="2"/>
      <c r="L408" s="2"/>
    </row>
    <row r="409">
      <c r="E409" s="37"/>
      <c r="K409" s="2"/>
      <c r="L409" s="2"/>
    </row>
    <row r="410">
      <c r="E410" s="37"/>
      <c r="K410" s="2"/>
      <c r="L410" s="2"/>
    </row>
    <row r="411">
      <c r="E411" s="37"/>
      <c r="K411" s="2"/>
      <c r="L411" s="2"/>
    </row>
    <row r="412">
      <c r="E412" s="37"/>
      <c r="K412" s="2"/>
      <c r="L412" s="2"/>
    </row>
    <row r="413">
      <c r="E413" s="37"/>
      <c r="K413" s="2"/>
      <c r="L413" s="2"/>
    </row>
    <row r="414">
      <c r="E414" s="37"/>
      <c r="K414" s="2"/>
      <c r="L414" s="2"/>
    </row>
    <row r="415">
      <c r="E415" s="37"/>
      <c r="K415" s="2"/>
      <c r="L415" s="2"/>
    </row>
    <row r="416">
      <c r="E416" s="37"/>
      <c r="K416" s="2"/>
      <c r="L416" s="2"/>
    </row>
    <row r="417">
      <c r="E417" s="37"/>
      <c r="K417" s="2"/>
      <c r="L417" s="2"/>
    </row>
    <row r="418">
      <c r="E418" s="37"/>
      <c r="K418" s="2"/>
      <c r="L418" s="2"/>
    </row>
    <row r="419">
      <c r="E419" s="37"/>
      <c r="K419" s="2"/>
      <c r="L419" s="2"/>
    </row>
    <row r="420">
      <c r="E420" s="37"/>
      <c r="K420" s="2"/>
      <c r="L420" s="2"/>
    </row>
    <row r="421">
      <c r="E421" s="37"/>
      <c r="K421" s="2"/>
      <c r="L421" s="2"/>
    </row>
    <row r="422">
      <c r="E422" s="37"/>
      <c r="K422" s="2"/>
      <c r="L422" s="2"/>
    </row>
    <row r="423">
      <c r="E423" s="37"/>
      <c r="K423" s="2"/>
      <c r="L423" s="2"/>
    </row>
    <row r="424">
      <c r="E424" s="37"/>
      <c r="K424" s="2"/>
      <c r="L424" s="2"/>
    </row>
    <row r="425">
      <c r="E425" s="37"/>
      <c r="K425" s="2"/>
      <c r="L425" s="2"/>
    </row>
    <row r="426">
      <c r="E426" s="37"/>
      <c r="K426" s="2"/>
      <c r="L426" s="2"/>
    </row>
    <row r="427">
      <c r="E427" s="37"/>
      <c r="K427" s="2"/>
      <c r="L427" s="2"/>
    </row>
    <row r="428">
      <c r="E428" s="37"/>
      <c r="K428" s="2"/>
      <c r="L428" s="2"/>
    </row>
    <row r="429">
      <c r="E429" s="37"/>
      <c r="K429" s="2"/>
      <c r="L429" s="2"/>
    </row>
    <row r="430">
      <c r="E430" s="37"/>
      <c r="K430" s="2"/>
      <c r="L430" s="2"/>
    </row>
    <row r="431">
      <c r="E431" s="37"/>
      <c r="K431" s="2"/>
      <c r="L431" s="2"/>
    </row>
    <row r="432">
      <c r="E432" s="37"/>
      <c r="K432" s="2"/>
      <c r="L432" s="2"/>
    </row>
    <row r="433">
      <c r="E433" s="37"/>
      <c r="K433" s="2"/>
      <c r="L433" s="2"/>
    </row>
    <row r="434">
      <c r="E434" s="37"/>
      <c r="K434" s="2"/>
      <c r="L434" s="2"/>
    </row>
    <row r="435">
      <c r="E435" s="37"/>
      <c r="K435" s="2"/>
      <c r="L435" s="2"/>
    </row>
    <row r="436">
      <c r="E436" s="37"/>
      <c r="K436" s="2"/>
      <c r="L436" s="2"/>
    </row>
    <row r="437">
      <c r="E437" s="37"/>
      <c r="K437" s="2"/>
      <c r="L437" s="2"/>
    </row>
    <row r="438">
      <c r="E438" s="37"/>
      <c r="K438" s="2"/>
      <c r="L438" s="2"/>
    </row>
    <row r="439">
      <c r="E439" s="37"/>
      <c r="K439" s="2"/>
      <c r="L439" s="2"/>
    </row>
    <row r="440">
      <c r="E440" s="37"/>
      <c r="K440" s="2"/>
      <c r="L440" s="2"/>
    </row>
    <row r="441">
      <c r="E441" s="37"/>
      <c r="K441" s="2"/>
      <c r="L441" s="2"/>
    </row>
    <row r="442">
      <c r="E442" s="37"/>
      <c r="K442" s="2"/>
      <c r="L442" s="2"/>
    </row>
    <row r="443">
      <c r="E443" s="37"/>
      <c r="K443" s="2"/>
      <c r="L443" s="2"/>
    </row>
    <row r="444">
      <c r="E444" s="37"/>
      <c r="K444" s="2"/>
      <c r="L444" s="2"/>
    </row>
    <row r="445">
      <c r="E445" s="37"/>
      <c r="K445" s="2"/>
      <c r="L445" s="2"/>
    </row>
    <row r="446">
      <c r="E446" s="37"/>
      <c r="K446" s="2"/>
      <c r="L446" s="2"/>
    </row>
    <row r="447">
      <c r="E447" s="37"/>
      <c r="K447" s="2"/>
      <c r="L447" s="2"/>
    </row>
    <row r="448">
      <c r="E448" s="37"/>
      <c r="K448" s="2"/>
      <c r="L448" s="2"/>
    </row>
    <row r="449">
      <c r="E449" s="37"/>
      <c r="K449" s="2"/>
      <c r="L449" s="2"/>
    </row>
    <row r="450">
      <c r="E450" s="37"/>
      <c r="K450" s="2"/>
      <c r="L450" s="2"/>
    </row>
    <row r="451">
      <c r="E451" s="37"/>
      <c r="K451" s="2"/>
      <c r="L451" s="2"/>
    </row>
    <row r="452">
      <c r="E452" s="37"/>
      <c r="K452" s="2"/>
      <c r="L452" s="2"/>
    </row>
    <row r="453">
      <c r="E453" s="37"/>
      <c r="K453" s="2"/>
      <c r="L453" s="2"/>
    </row>
    <row r="454">
      <c r="E454" s="37"/>
      <c r="K454" s="2"/>
      <c r="L454" s="2"/>
    </row>
    <row r="455">
      <c r="E455" s="37"/>
      <c r="K455" s="2"/>
      <c r="L455" s="2"/>
    </row>
    <row r="456">
      <c r="E456" s="37"/>
      <c r="K456" s="2"/>
      <c r="L456" s="2"/>
    </row>
    <row r="457">
      <c r="E457" s="37"/>
      <c r="K457" s="2"/>
      <c r="L457" s="2"/>
    </row>
    <row r="458">
      <c r="E458" s="37"/>
      <c r="K458" s="2"/>
      <c r="L458" s="2"/>
    </row>
    <row r="459">
      <c r="E459" s="37"/>
      <c r="K459" s="2"/>
      <c r="L459" s="2"/>
    </row>
    <row r="460">
      <c r="E460" s="37"/>
      <c r="K460" s="2"/>
      <c r="L460" s="2"/>
    </row>
    <row r="461">
      <c r="E461" s="37"/>
      <c r="K461" s="2"/>
      <c r="L461" s="2"/>
    </row>
    <row r="462">
      <c r="E462" s="37"/>
      <c r="K462" s="2"/>
      <c r="L462" s="2"/>
    </row>
    <row r="463">
      <c r="E463" s="37"/>
      <c r="K463" s="2"/>
      <c r="L463" s="2"/>
    </row>
    <row r="464">
      <c r="E464" s="37"/>
      <c r="K464" s="2"/>
      <c r="L464" s="2"/>
    </row>
    <row r="465">
      <c r="E465" s="37"/>
      <c r="K465" s="2"/>
      <c r="L465" s="2"/>
    </row>
    <row r="466">
      <c r="E466" s="37"/>
      <c r="K466" s="2"/>
      <c r="L466" s="2"/>
    </row>
    <row r="467">
      <c r="E467" s="37"/>
      <c r="K467" s="2"/>
      <c r="L467" s="2"/>
    </row>
    <row r="468">
      <c r="E468" s="37"/>
      <c r="K468" s="2"/>
      <c r="L468" s="2"/>
    </row>
    <row r="469">
      <c r="E469" s="37"/>
      <c r="K469" s="2"/>
      <c r="L469" s="2"/>
    </row>
    <row r="470">
      <c r="E470" s="37"/>
      <c r="K470" s="2"/>
      <c r="L470" s="2"/>
    </row>
    <row r="471">
      <c r="E471" s="37"/>
      <c r="K471" s="2"/>
      <c r="L471" s="2"/>
    </row>
    <row r="472">
      <c r="E472" s="37"/>
      <c r="K472" s="2"/>
      <c r="L472" s="2"/>
    </row>
    <row r="473">
      <c r="E473" s="37"/>
      <c r="K473" s="2"/>
      <c r="L473" s="2"/>
    </row>
    <row r="474">
      <c r="E474" s="37"/>
      <c r="K474" s="2"/>
      <c r="L474" s="2"/>
    </row>
    <row r="475">
      <c r="E475" s="37"/>
      <c r="K475" s="2"/>
      <c r="L475" s="2"/>
    </row>
    <row r="476">
      <c r="E476" s="37"/>
      <c r="K476" s="2"/>
      <c r="L476" s="2"/>
    </row>
    <row r="477">
      <c r="E477" s="37"/>
      <c r="K477" s="2"/>
      <c r="L477" s="2"/>
    </row>
    <row r="478">
      <c r="E478" s="37"/>
      <c r="K478" s="2"/>
      <c r="L478" s="2"/>
    </row>
    <row r="479">
      <c r="E479" s="37"/>
      <c r="K479" s="2"/>
      <c r="L479" s="2"/>
    </row>
    <row r="480">
      <c r="E480" s="37"/>
      <c r="K480" s="2"/>
      <c r="L480" s="2"/>
    </row>
    <row r="481">
      <c r="E481" s="37"/>
      <c r="K481" s="2"/>
      <c r="L481" s="2"/>
    </row>
    <row r="482">
      <c r="E482" s="37"/>
      <c r="K482" s="2"/>
      <c r="L482" s="2"/>
    </row>
    <row r="483">
      <c r="E483" s="37"/>
      <c r="K483" s="2"/>
      <c r="L483" s="2"/>
    </row>
    <row r="484">
      <c r="E484" s="37"/>
      <c r="K484" s="2"/>
      <c r="L484" s="2"/>
    </row>
    <row r="485">
      <c r="E485" s="37"/>
      <c r="K485" s="2"/>
      <c r="L485" s="2"/>
    </row>
    <row r="486">
      <c r="E486" s="37"/>
      <c r="K486" s="2"/>
      <c r="L486" s="2"/>
    </row>
    <row r="487">
      <c r="E487" s="37"/>
      <c r="K487" s="2"/>
      <c r="L487" s="2"/>
    </row>
    <row r="488">
      <c r="E488" s="37"/>
      <c r="K488" s="2"/>
      <c r="L488" s="2"/>
    </row>
    <row r="489">
      <c r="E489" s="37"/>
      <c r="K489" s="2"/>
      <c r="L489" s="2"/>
    </row>
    <row r="490">
      <c r="E490" s="37"/>
      <c r="K490" s="2"/>
      <c r="L490" s="2"/>
    </row>
    <row r="491">
      <c r="E491" s="37"/>
      <c r="K491" s="2"/>
      <c r="L491" s="2"/>
    </row>
    <row r="492">
      <c r="E492" s="37"/>
      <c r="K492" s="2"/>
      <c r="L492" s="2"/>
    </row>
    <row r="493">
      <c r="E493" s="37"/>
      <c r="K493" s="2"/>
      <c r="L493" s="2"/>
    </row>
    <row r="494">
      <c r="E494" s="37"/>
      <c r="K494" s="2"/>
      <c r="L494" s="2"/>
    </row>
    <row r="495">
      <c r="E495" s="37"/>
      <c r="K495" s="2"/>
      <c r="L495" s="2"/>
    </row>
    <row r="496">
      <c r="E496" s="37"/>
      <c r="K496" s="2"/>
      <c r="L496" s="2"/>
    </row>
    <row r="497">
      <c r="E497" s="37"/>
      <c r="K497" s="2"/>
      <c r="L497" s="2"/>
    </row>
    <row r="498">
      <c r="E498" s="37"/>
      <c r="K498" s="2"/>
      <c r="L498" s="2"/>
    </row>
    <row r="499">
      <c r="E499" s="37"/>
      <c r="K499" s="2"/>
      <c r="L499" s="2"/>
    </row>
    <row r="500">
      <c r="E500" s="37"/>
      <c r="K500" s="2"/>
      <c r="L500" s="2"/>
    </row>
    <row r="501">
      <c r="E501" s="37"/>
      <c r="K501" s="2"/>
      <c r="L501" s="2"/>
    </row>
    <row r="502">
      <c r="E502" s="37"/>
      <c r="K502" s="2"/>
      <c r="L502" s="2"/>
    </row>
    <row r="503">
      <c r="E503" s="37"/>
      <c r="K503" s="2"/>
      <c r="L503" s="2"/>
    </row>
    <row r="504">
      <c r="E504" s="37"/>
      <c r="K504" s="2"/>
      <c r="L504" s="2"/>
    </row>
    <row r="505">
      <c r="E505" s="37"/>
      <c r="K505" s="2"/>
      <c r="L505" s="2"/>
    </row>
    <row r="506">
      <c r="E506" s="37"/>
      <c r="K506" s="2"/>
      <c r="L506" s="2"/>
    </row>
    <row r="507">
      <c r="E507" s="37"/>
      <c r="K507" s="2"/>
      <c r="L507" s="2"/>
    </row>
    <row r="508">
      <c r="E508" s="37"/>
      <c r="K508" s="2"/>
      <c r="L508" s="2"/>
    </row>
    <row r="509">
      <c r="E509" s="37"/>
      <c r="K509" s="2"/>
      <c r="L509" s="2"/>
    </row>
    <row r="510">
      <c r="E510" s="37"/>
      <c r="K510" s="2"/>
      <c r="L510" s="2"/>
    </row>
    <row r="511">
      <c r="E511" s="37"/>
      <c r="K511" s="2"/>
      <c r="L511" s="2"/>
    </row>
    <row r="512">
      <c r="E512" s="37"/>
      <c r="K512" s="2"/>
      <c r="L512" s="2"/>
    </row>
    <row r="513">
      <c r="E513" s="37"/>
      <c r="K513" s="2"/>
      <c r="L513" s="2"/>
    </row>
    <row r="514">
      <c r="E514" s="37"/>
      <c r="K514" s="2"/>
      <c r="L514" s="2"/>
    </row>
    <row r="515">
      <c r="E515" s="37"/>
      <c r="K515" s="2"/>
      <c r="L515" s="2"/>
    </row>
    <row r="516">
      <c r="E516" s="37"/>
      <c r="K516" s="2"/>
      <c r="L516" s="2"/>
    </row>
    <row r="517">
      <c r="E517" s="37"/>
      <c r="K517" s="2"/>
      <c r="L517" s="2"/>
    </row>
    <row r="518">
      <c r="E518" s="37"/>
      <c r="K518" s="2"/>
      <c r="L518" s="2"/>
    </row>
    <row r="519">
      <c r="E519" s="37"/>
      <c r="K519" s="2"/>
      <c r="L519" s="2"/>
    </row>
    <row r="520">
      <c r="E520" s="37"/>
      <c r="K520" s="2"/>
      <c r="L520" s="2"/>
    </row>
    <row r="521">
      <c r="E521" s="37"/>
      <c r="K521" s="2"/>
      <c r="L521" s="2"/>
    </row>
    <row r="522">
      <c r="E522" s="37"/>
      <c r="K522" s="2"/>
      <c r="L522" s="2"/>
    </row>
    <row r="523">
      <c r="E523" s="37"/>
      <c r="K523" s="2"/>
      <c r="L523" s="2"/>
    </row>
    <row r="524">
      <c r="E524" s="37"/>
      <c r="K524" s="2"/>
      <c r="L524" s="2"/>
    </row>
    <row r="525">
      <c r="E525" s="37"/>
      <c r="K525" s="2"/>
      <c r="L525" s="2"/>
    </row>
    <row r="526">
      <c r="E526" s="37"/>
      <c r="K526" s="2"/>
      <c r="L526" s="2"/>
    </row>
    <row r="527">
      <c r="E527" s="37"/>
      <c r="K527" s="2"/>
      <c r="L527" s="2"/>
    </row>
    <row r="528">
      <c r="E528" s="37"/>
      <c r="K528" s="2"/>
      <c r="L528" s="2"/>
    </row>
    <row r="529">
      <c r="E529" s="37"/>
      <c r="K529" s="2"/>
      <c r="L529" s="2"/>
    </row>
    <row r="530">
      <c r="E530" s="37"/>
      <c r="K530" s="2"/>
      <c r="L530" s="2"/>
    </row>
    <row r="531">
      <c r="E531" s="37"/>
      <c r="K531" s="2"/>
      <c r="L531" s="2"/>
    </row>
    <row r="532">
      <c r="E532" s="37"/>
      <c r="K532" s="2"/>
      <c r="L532" s="2"/>
    </row>
    <row r="533">
      <c r="E533" s="37"/>
      <c r="K533" s="2"/>
      <c r="L533" s="2"/>
    </row>
    <row r="534">
      <c r="E534" s="37"/>
      <c r="K534" s="2"/>
      <c r="L534" s="2"/>
    </row>
    <row r="535">
      <c r="E535" s="37"/>
      <c r="K535" s="2"/>
      <c r="L535" s="2"/>
    </row>
    <row r="536">
      <c r="E536" s="37"/>
      <c r="K536" s="2"/>
      <c r="L536" s="2"/>
    </row>
    <row r="537">
      <c r="E537" s="37"/>
      <c r="K537" s="2"/>
      <c r="L537" s="2"/>
    </row>
    <row r="538">
      <c r="E538" s="37"/>
      <c r="K538" s="2"/>
      <c r="L538" s="2"/>
    </row>
    <row r="539">
      <c r="E539" s="37"/>
      <c r="K539" s="2"/>
      <c r="L539" s="2"/>
    </row>
    <row r="540">
      <c r="E540" s="37"/>
      <c r="K540" s="2"/>
      <c r="L540" s="2"/>
    </row>
    <row r="541">
      <c r="E541" s="37"/>
      <c r="K541" s="2"/>
      <c r="L541" s="2"/>
    </row>
    <row r="542">
      <c r="E542" s="37"/>
      <c r="K542" s="2"/>
      <c r="L542" s="2"/>
    </row>
    <row r="543">
      <c r="E543" s="37"/>
      <c r="K543" s="2"/>
      <c r="L543" s="2"/>
    </row>
    <row r="544">
      <c r="E544" s="37"/>
      <c r="K544" s="2"/>
      <c r="L544" s="2"/>
    </row>
    <row r="545">
      <c r="E545" s="37"/>
      <c r="K545" s="2"/>
      <c r="L545" s="2"/>
    </row>
    <row r="546">
      <c r="E546" s="37"/>
      <c r="K546" s="2"/>
      <c r="L546" s="2"/>
    </row>
    <row r="547">
      <c r="E547" s="37"/>
      <c r="K547" s="2"/>
      <c r="L547" s="2"/>
    </row>
    <row r="548">
      <c r="E548" s="37"/>
      <c r="K548" s="2"/>
      <c r="L548" s="2"/>
    </row>
    <row r="549">
      <c r="E549" s="37"/>
      <c r="K549" s="2"/>
      <c r="L549" s="2"/>
    </row>
    <row r="550">
      <c r="E550" s="37"/>
      <c r="K550" s="2"/>
      <c r="L550" s="2"/>
    </row>
    <row r="551">
      <c r="E551" s="37"/>
      <c r="K551" s="2"/>
      <c r="L551" s="2"/>
    </row>
    <row r="552">
      <c r="E552" s="37"/>
      <c r="K552" s="2"/>
      <c r="L552" s="2"/>
    </row>
    <row r="553">
      <c r="E553" s="37"/>
      <c r="K553" s="2"/>
      <c r="L553" s="2"/>
    </row>
    <row r="554">
      <c r="E554" s="37"/>
      <c r="K554" s="2"/>
      <c r="L554" s="2"/>
    </row>
    <row r="555">
      <c r="E555" s="37"/>
      <c r="K555" s="2"/>
      <c r="L555" s="2"/>
    </row>
    <row r="556">
      <c r="E556" s="37"/>
      <c r="K556" s="2"/>
      <c r="L556" s="2"/>
    </row>
    <row r="557">
      <c r="E557" s="37"/>
      <c r="K557" s="2"/>
      <c r="L557" s="2"/>
    </row>
    <row r="558">
      <c r="E558" s="37"/>
      <c r="K558" s="2"/>
      <c r="L558" s="2"/>
    </row>
    <row r="559">
      <c r="E559" s="37"/>
      <c r="K559" s="2"/>
      <c r="L559" s="2"/>
    </row>
    <row r="560">
      <c r="E560" s="37"/>
      <c r="K560" s="2"/>
      <c r="L560" s="2"/>
    </row>
    <row r="561">
      <c r="E561" s="37"/>
      <c r="K561" s="2"/>
      <c r="L561" s="2"/>
    </row>
    <row r="562">
      <c r="E562" s="37"/>
      <c r="K562" s="2"/>
      <c r="L562" s="2"/>
    </row>
    <row r="563">
      <c r="E563" s="37"/>
      <c r="K563" s="2"/>
      <c r="L563" s="2"/>
    </row>
    <row r="564">
      <c r="E564" s="37"/>
      <c r="K564" s="2"/>
      <c r="L564" s="2"/>
    </row>
    <row r="565">
      <c r="E565" s="37"/>
      <c r="K565" s="2"/>
      <c r="L565" s="2"/>
    </row>
    <row r="566">
      <c r="E566" s="37"/>
      <c r="K566" s="2"/>
      <c r="L566" s="2"/>
    </row>
    <row r="567">
      <c r="E567" s="37"/>
      <c r="K567" s="2"/>
      <c r="L567" s="2"/>
    </row>
    <row r="568">
      <c r="E568" s="37"/>
      <c r="K568" s="2"/>
      <c r="L568" s="2"/>
    </row>
    <row r="569">
      <c r="E569" s="37"/>
      <c r="K569" s="2"/>
      <c r="L569" s="2"/>
    </row>
    <row r="570">
      <c r="E570" s="37"/>
      <c r="K570" s="2"/>
      <c r="L570" s="2"/>
    </row>
    <row r="571">
      <c r="E571" s="37"/>
      <c r="K571" s="2"/>
      <c r="L571" s="2"/>
    </row>
    <row r="572">
      <c r="E572" s="37"/>
      <c r="K572" s="2"/>
      <c r="L572" s="2"/>
    </row>
    <row r="573">
      <c r="E573" s="37"/>
      <c r="K573" s="2"/>
      <c r="L573" s="2"/>
    </row>
    <row r="574">
      <c r="E574" s="37"/>
      <c r="K574" s="2"/>
      <c r="L574" s="2"/>
    </row>
    <row r="575">
      <c r="E575" s="37"/>
      <c r="K575" s="2"/>
      <c r="L575" s="2"/>
    </row>
    <row r="576">
      <c r="E576" s="37"/>
      <c r="K576" s="2"/>
      <c r="L576" s="2"/>
    </row>
    <row r="577">
      <c r="E577" s="37"/>
      <c r="K577" s="2"/>
      <c r="L577" s="2"/>
    </row>
    <row r="578">
      <c r="E578" s="37"/>
      <c r="K578" s="2"/>
      <c r="L578" s="2"/>
    </row>
    <row r="579">
      <c r="E579" s="37"/>
      <c r="K579" s="2"/>
      <c r="L579" s="2"/>
    </row>
    <row r="580">
      <c r="E580" s="37"/>
      <c r="K580" s="2"/>
      <c r="L580" s="2"/>
    </row>
    <row r="581">
      <c r="E581" s="37"/>
      <c r="K581" s="2"/>
      <c r="L581" s="2"/>
    </row>
    <row r="582">
      <c r="E582" s="37"/>
      <c r="K582" s="2"/>
      <c r="L582" s="2"/>
    </row>
    <row r="583">
      <c r="E583" s="37"/>
      <c r="K583" s="2"/>
      <c r="L583" s="2"/>
    </row>
    <row r="584">
      <c r="E584" s="37"/>
      <c r="K584" s="2"/>
      <c r="L584" s="2"/>
    </row>
    <row r="585">
      <c r="E585" s="37"/>
      <c r="K585" s="2"/>
      <c r="L585" s="2"/>
    </row>
    <row r="586">
      <c r="E586" s="37"/>
      <c r="K586" s="2"/>
      <c r="L586" s="2"/>
    </row>
    <row r="587">
      <c r="E587" s="37"/>
      <c r="K587" s="2"/>
      <c r="L587" s="2"/>
    </row>
    <row r="588">
      <c r="E588" s="37"/>
      <c r="K588" s="2"/>
      <c r="L588" s="2"/>
    </row>
    <row r="589">
      <c r="E589" s="37"/>
      <c r="K589" s="2"/>
      <c r="L589" s="2"/>
    </row>
    <row r="590">
      <c r="E590" s="37"/>
      <c r="K590" s="2"/>
      <c r="L590" s="2"/>
    </row>
    <row r="591">
      <c r="E591" s="37"/>
      <c r="K591" s="2"/>
      <c r="L591" s="2"/>
    </row>
    <row r="592">
      <c r="E592" s="37"/>
      <c r="K592" s="2"/>
      <c r="L592" s="2"/>
    </row>
    <row r="593">
      <c r="E593" s="37"/>
      <c r="K593" s="2"/>
      <c r="L593" s="2"/>
    </row>
    <row r="594">
      <c r="E594" s="37"/>
      <c r="K594" s="2"/>
      <c r="L594" s="2"/>
    </row>
    <row r="595">
      <c r="E595" s="37"/>
      <c r="K595" s="2"/>
      <c r="L595" s="2"/>
    </row>
    <row r="596">
      <c r="E596" s="37"/>
      <c r="K596" s="2"/>
      <c r="L596" s="2"/>
    </row>
    <row r="597">
      <c r="E597" s="37"/>
      <c r="K597" s="2"/>
      <c r="L597" s="2"/>
    </row>
    <row r="598">
      <c r="E598" s="37"/>
      <c r="K598" s="2"/>
      <c r="L598" s="2"/>
    </row>
    <row r="599">
      <c r="E599" s="37"/>
      <c r="K599" s="2"/>
      <c r="L599" s="2"/>
    </row>
    <row r="600">
      <c r="E600" s="37"/>
      <c r="K600" s="2"/>
      <c r="L600" s="2"/>
    </row>
    <row r="601">
      <c r="E601" s="37"/>
      <c r="K601" s="2"/>
      <c r="L601" s="2"/>
    </row>
    <row r="602">
      <c r="E602" s="37"/>
      <c r="K602" s="2"/>
      <c r="L602" s="2"/>
    </row>
    <row r="603">
      <c r="E603" s="37"/>
      <c r="K603" s="2"/>
      <c r="L603" s="2"/>
    </row>
    <row r="604">
      <c r="E604" s="37"/>
      <c r="K604" s="2"/>
      <c r="L604" s="2"/>
    </row>
    <row r="605">
      <c r="E605" s="37"/>
      <c r="K605" s="2"/>
      <c r="L605" s="2"/>
    </row>
    <row r="606">
      <c r="E606" s="37"/>
      <c r="K606" s="2"/>
      <c r="L606" s="2"/>
    </row>
    <row r="607">
      <c r="E607" s="37"/>
      <c r="K607" s="2"/>
      <c r="L607" s="2"/>
    </row>
    <row r="608">
      <c r="E608" s="37"/>
      <c r="K608" s="2"/>
      <c r="L608" s="2"/>
    </row>
    <row r="609">
      <c r="E609" s="37"/>
      <c r="K609" s="2"/>
      <c r="L609" s="2"/>
    </row>
    <row r="610">
      <c r="E610" s="37"/>
      <c r="K610" s="2"/>
      <c r="L610" s="2"/>
    </row>
    <row r="611">
      <c r="E611" s="37"/>
      <c r="K611" s="2"/>
      <c r="L611" s="2"/>
    </row>
    <row r="612">
      <c r="E612" s="37"/>
      <c r="K612" s="2"/>
      <c r="L612" s="2"/>
    </row>
    <row r="613">
      <c r="E613" s="37"/>
      <c r="K613" s="2"/>
      <c r="L613" s="2"/>
    </row>
    <row r="614">
      <c r="E614" s="37"/>
      <c r="K614" s="2"/>
      <c r="L614" s="2"/>
    </row>
    <row r="615">
      <c r="E615" s="37"/>
      <c r="K615" s="2"/>
      <c r="L615" s="2"/>
    </row>
    <row r="616">
      <c r="E616" s="37"/>
      <c r="K616" s="2"/>
      <c r="L616" s="2"/>
    </row>
    <row r="617">
      <c r="E617" s="37"/>
      <c r="K617" s="2"/>
      <c r="L617" s="2"/>
    </row>
    <row r="618">
      <c r="E618" s="37"/>
      <c r="K618" s="2"/>
      <c r="L618" s="2"/>
    </row>
    <row r="619">
      <c r="E619" s="37"/>
      <c r="K619" s="2"/>
      <c r="L619" s="2"/>
    </row>
    <row r="620">
      <c r="E620" s="37"/>
      <c r="K620" s="2"/>
      <c r="L620" s="2"/>
    </row>
    <row r="621">
      <c r="E621" s="37"/>
      <c r="K621" s="2"/>
      <c r="L621" s="2"/>
    </row>
    <row r="622">
      <c r="E622" s="37"/>
      <c r="K622" s="2"/>
      <c r="L622" s="2"/>
    </row>
    <row r="623">
      <c r="E623" s="37"/>
      <c r="K623" s="2"/>
      <c r="L623" s="2"/>
    </row>
    <row r="624">
      <c r="E624" s="37"/>
      <c r="K624" s="2"/>
      <c r="L624" s="2"/>
    </row>
    <row r="625">
      <c r="E625" s="37"/>
      <c r="K625" s="2"/>
      <c r="L625" s="2"/>
    </row>
    <row r="626">
      <c r="E626" s="37"/>
      <c r="K626" s="2"/>
      <c r="L626" s="2"/>
    </row>
    <row r="627">
      <c r="E627" s="37"/>
      <c r="K627" s="2"/>
      <c r="L627" s="2"/>
    </row>
    <row r="628">
      <c r="E628" s="37"/>
      <c r="K628" s="2"/>
      <c r="L628" s="2"/>
    </row>
    <row r="629">
      <c r="E629" s="37"/>
      <c r="K629" s="2"/>
      <c r="L629" s="2"/>
    </row>
    <row r="630">
      <c r="E630" s="37"/>
      <c r="K630" s="2"/>
      <c r="L630" s="2"/>
    </row>
    <row r="631">
      <c r="E631" s="37"/>
      <c r="K631" s="2"/>
      <c r="L631" s="2"/>
    </row>
    <row r="632">
      <c r="E632" s="37"/>
      <c r="K632" s="2"/>
      <c r="L632" s="2"/>
    </row>
    <row r="633">
      <c r="E633" s="37"/>
      <c r="K633" s="2"/>
      <c r="L633" s="2"/>
    </row>
    <row r="634">
      <c r="E634" s="37"/>
      <c r="K634" s="2"/>
      <c r="L634" s="2"/>
    </row>
    <row r="635">
      <c r="E635" s="37"/>
      <c r="K635" s="2"/>
      <c r="L635" s="2"/>
    </row>
    <row r="636">
      <c r="E636" s="37"/>
      <c r="K636" s="2"/>
      <c r="L636" s="2"/>
    </row>
    <row r="637">
      <c r="E637" s="37"/>
      <c r="K637" s="2"/>
      <c r="L637" s="2"/>
    </row>
    <row r="638">
      <c r="E638" s="37"/>
      <c r="K638" s="2"/>
      <c r="L638" s="2"/>
    </row>
    <row r="639">
      <c r="E639" s="37"/>
      <c r="K639" s="2"/>
      <c r="L639" s="2"/>
    </row>
    <row r="640">
      <c r="E640" s="37"/>
      <c r="K640" s="2"/>
      <c r="L640" s="2"/>
    </row>
    <row r="641">
      <c r="E641" s="37"/>
      <c r="K641" s="2"/>
      <c r="L641" s="2"/>
    </row>
    <row r="642">
      <c r="E642" s="37"/>
      <c r="K642" s="2"/>
      <c r="L642" s="2"/>
    </row>
    <row r="643">
      <c r="E643" s="37"/>
      <c r="K643" s="2"/>
      <c r="L643" s="2"/>
    </row>
    <row r="644">
      <c r="E644" s="37"/>
      <c r="K644" s="2"/>
      <c r="L644" s="2"/>
    </row>
    <row r="645">
      <c r="E645" s="37"/>
      <c r="K645" s="2"/>
      <c r="L645" s="2"/>
    </row>
    <row r="646">
      <c r="E646" s="37"/>
      <c r="K646" s="2"/>
      <c r="L646" s="2"/>
    </row>
    <row r="647">
      <c r="E647" s="37"/>
      <c r="K647" s="2"/>
      <c r="L647" s="2"/>
    </row>
    <row r="648">
      <c r="E648" s="37"/>
      <c r="K648" s="2"/>
      <c r="L648" s="2"/>
    </row>
    <row r="649">
      <c r="E649" s="37"/>
      <c r="K649" s="2"/>
      <c r="L649" s="2"/>
    </row>
    <row r="650">
      <c r="E650" s="37"/>
      <c r="K650" s="2"/>
      <c r="L650" s="2"/>
    </row>
    <row r="651">
      <c r="E651" s="37"/>
      <c r="K651" s="2"/>
      <c r="L651" s="2"/>
    </row>
    <row r="652">
      <c r="E652" s="37"/>
      <c r="K652" s="2"/>
      <c r="L652" s="2"/>
    </row>
    <row r="653">
      <c r="E653" s="37"/>
      <c r="K653" s="2"/>
      <c r="L653" s="2"/>
    </row>
    <row r="654">
      <c r="E654" s="37"/>
      <c r="K654" s="2"/>
      <c r="L654" s="2"/>
    </row>
    <row r="655">
      <c r="E655" s="37"/>
      <c r="K655" s="2"/>
      <c r="L655" s="2"/>
    </row>
    <row r="656">
      <c r="E656" s="37"/>
      <c r="K656" s="2"/>
      <c r="L656" s="2"/>
    </row>
    <row r="657">
      <c r="E657" s="37"/>
      <c r="K657" s="2"/>
      <c r="L657" s="2"/>
    </row>
    <row r="658">
      <c r="E658" s="37"/>
      <c r="K658" s="2"/>
      <c r="L658" s="2"/>
    </row>
    <row r="659">
      <c r="E659" s="37"/>
      <c r="K659" s="2"/>
      <c r="L659" s="2"/>
    </row>
    <row r="660">
      <c r="E660" s="37"/>
      <c r="K660" s="2"/>
      <c r="L660" s="2"/>
    </row>
    <row r="661">
      <c r="E661" s="37"/>
      <c r="K661" s="2"/>
      <c r="L661" s="2"/>
    </row>
    <row r="662">
      <c r="E662" s="37"/>
      <c r="K662" s="2"/>
      <c r="L662" s="2"/>
    </row>
    <row r="663">
      <c r="E663" s="37"/>
      <c r="K663" s="2"/>
      <c r="L663" s="2"/>
    </row>
    <row r="664">
      <c r="E664" s="37"/>
      <c r="K664" s="2"/>
      <c r="L664" s="2"/>
    </row>
    <row r="665">
      <c r="E665" s="37"/>
      <c r="K665" s="2"/>
      <c r="L665" s="2"/>
    </row>
    <row r="666">
      <c r="E666" s="37"/>
      <c r="K666" s="2"/>
      <c r="L666" s="2"/>
    </row>
    <row r="667">
      <c r="E667" s="37"/>
      <c r="K667" s="2"/>
      <c r="L667" s="2"/>
    </row>
    <row r="668">
      <c r="E668" s="37"/>
      <c r="K668" s="2"/>
      <c r="L668" s="2"/>
    </row>
    <row r="669">
      <c r="E669" s="37"/>
      <c r="K669" s="2"/>
      <c r="L669" s="2"/>
    </row>
    <row r="670">
      <c r="E670" s="37"/>
      <c r="K670" s="2"/>
      <c r="L670" s="2"/>
    </row>
    <row r="671">
      <c r="E671" s="37"/>
      <c r="K671" s="2"/>
      <c r="L671" s="2"/>
    </row>
    <row r="672">
      <c r="E672" s="37"/>
      <c r="K672" s="2"/>
      <c r="L672" s="2"/>
    </row>
    <row r="673">
      <c r="E673" s="37"/>
      <c r="K673" s="2"/>
      <c r="L673" s="2"/>
    </row>
    <row r="674">
      <c r="E674" s="37"/>
      <c r="K674" s="2"/>
      <c r="L674" s="2"/>
    </row>
    <row r="675">
      <c r="E675" s="37"/>
      <c r="K675" s="2"/>
      <c r="L675" s="2"/>
    </row>
    <row r="676">
      <c r="E676" s="37"/>
      <c r="K676" s="2"/>
      <c r="L676" s="2"/>
    </row>
    <row r="677">
      <c r="E677" s="37"/>
      <c r="K677" s="2"/>
      <c r="L677" s="2"/>
    </row>
    <row r="678">
      <c r="E678" s="37"/>
      <c r="K678" s="2"/>
      <c r="L678" s="2"/>
    </row>
    <row r="679">
      <c r="E679" s="37"/>
      <c r="K679" s="2"/>
      <c r="L679" s="2"/>
    </row>
    <row r="680">
      <c r="E680" s="37"/>
      <c r="K680" s="2"/>
      <c r="L680" s="2"/>
    </row>
    <row r="681">
      <c r="E681" s="37"/>
      <c r="K681" s="2"/>
      <c r="L681" s="2"/>
    </row>
    <row r="682">
      <c r="E682" s="37"/>
      <c r="K682" s="2"/>
      <c r="L682" s="2"/>
    </row>
    <row r="683">
      <c r="E683" s="37"/>
      <c r="K683" s="2"/>
      <c r="L683" s="2"/>
    </row>
    <row r="684">
      <c r="E684" s="37"/>
      <c r="K684" s="2"/>
      <c r="L684" s="2"/>
    </row>
    <row r="685">
      <c r="E685" s="37"/>
      <c r="K685" s="2"/>
      <c r="L685" s="2"/>
    </row>
    <row r="686">
      <c r="E686" s="37"/>
      <c r="K686" s="2"/>
      <c r="L686" s="2"/>
    </row>
    <row r="687">
      <c r="E687" s="37"/>
      <c r="K687" s="2"/>
      <c r="L687" s="2"/>
    </row>
    <row r="688">
      <c r="E688" s="37"/>
      <c r="K688" s="2"/>
      <c r="L688" s="2"/>
    </row>
    <row r="689">
      <c r="E689" s="37"/>
      <c r="K689" s="2"/>
      <c r="L689" s="2"/>
    </row>
    <row r="690">
      <c r="E690" s="37"/>
      <c r="K690" s="2"/>
      <c r="L690" s="2"/>
    </row>
    <row r="691">
      <c r="E691" s="37"/>
      <c r="K691" s="2"/>
      <c r="L691" s="2"/>
    </row>
    <row r="692">
      <c r="E692" s="37"/>
      <c r="K692" s="2"/>
      <c r="L692" s="2"/>
    </row>
    <row r="693">
      <c r="E693" s="37"/>
      <c r="K693" s="2"/>
      <c r="L693" s="2"/>
    </row>
    <row r="694">
      <c r="E694" s="37"/>
      <c r="K694" s="2"/>
      <c r="L694" s="2"/>
    </row>
    <row r="695">
      <c r="E695" s="37"/>
      <c r="K695" s="2"/>
      <c r="L695" s="2"/>
    </row>
    <row r="696">
      <c r="E696" s="37"/>
      <c r="K696" s="2"/>
      <c r="L696" s="2"/>
    </row>
    <row r="697">
      <c r="E697" s="37"/>
      <c r="K697" s="2"/>
      <c r="L697" s="2"/>
    </row>
    <row r="698">
      <c r="E698" s="37"/>
      <c r="K698" s="2"/>
      <c r="L698" s="2"/>
    </row>
    <row r="699">
      <c r="E699" s="37"/>
      <c r="K699" s="2"/>
      <c r="L699" s="2"/>
    </row>
    <row r="700">
      <c r="E700" s="37"/>
      <c r="K700" s="2"/>
      <c r="L700" s="2"/>
    </row>
    <row r="701">
      <c r="E701" s="37"/>
      <c r="K701" s="2"/>
      <c r="L701" s="2"/>
    </row>
    <row r="702">
      <c r="E702" s="37"/>
      <c r="K702" s="2"/>
      <c r="L702" s="2"/>
    </row>
    <row r="703">
      <c r="E703" s="37"/>
      <c r="K703" s="2"/>
      <c r="L703" s="2"/>
    </row>
    <row r="704">
      <c r="E704" s="37"/>
      <c r="K704" s="2"/>
      <c r="L704" s="2"/>
    </row>
    <row r="705">
      <c r="E705" s="37"/>
      <c r="K705" s="2"/>
      <c r="L705" s="2"/>
    </row>
    <row r="706">
      <c r="E706" s="37"/>
      <c r="K706" s="2"/>
      <c r="L706" s="2"/>
    </row>
    <row r="707">
      <c r="E707" s="37"/>
      <c r="K707" s="2"/>
      <c r="L707" s="2"/>
    </row>
    <row r="708">
      <c r="E708" s="37"/>
      <c r="K708" s="2"/>
      <c r="L708" s="2"/>
    </row>
    <row r="709">
      <c r="E709" s="37"/>
      <c r="K709" s="2"/>
      <c r="L709" s="2"/>
    </row>
    <row r="710">
      <c r="E710" s="37"/>
      <c r="K710" s="2"/>
      <c r="L710" s="2"/>
    </row>
    <row r="711">
      <c r="E711" s="37"/>
      <c r="K711" s="2"/>
      <c r="L711" s="2"/>
    </row>
    <row r="712">
      <c r="E712" s="37"/>
      <c r="K712" s="2"/>
      <c r="L712" s="2"/>
    </row>
    <row r="713">
      <c r="E713" s="37"/>
      <c r="K713" s="2"/>
      <c r="L713" s="2"/>
    </row>
    <row r="714">
      <c r="E714" s="37"/>
      <c r="K714" s="2"/>
      <c r="L714" s="2"/>
    </row>
    <row r="715">
      <c r="E715" s="37"/>
      <c r="K715" s="2"/>
      <c r="L715" s="2"/>
    </row>
    <row r="716">
      <c r="E716" s="37"/>
      <c r="K716" s="2"/>
      <c r="L716" s="2"/>
    </row>
    <row r="717">
      <c r="E717" s="37"/>
      <c r="K717" s="2"/>
      <c r="L717" s="2"/>
    </row>
    <row r="718">
      <c r="E718" s="37"/>
      <c r="K718" s="2"/>
      <c r="L718" s="2"/>
    </row>
    <row r="719">
      <c r="E719" s="37"/>
      <c r="K719" s="2"/>
      <c r="L719" s="2"/>
    </row>
    <row r="720">
      <c r="E720" s="37"/>
      <c r="K720" s="2"/>
      <c r="L720" s="2"/>
    </row>
    <row r="721">
      <c r="E721" s="37"/>
      <c r="K721" s="2"/>
      <c r="L721" s="2"/>
    </row>
    <row r="722">
      <c r="E722" s="37"/>
      <c r="K722" s="2"/>
      <c r="L722" s="2"/>
    </row>
    <row r="723">
      <c r="E723" s="37"/>
      <c r="K723" s="2"/>
      <c r="L723" s="2"/>
    </row>
    <row r="724">
      <c r="E724" s="37"/>
      <c r="K724" s="2"/>
      <c r="L724" s="2"/>
    </row>
    <row r="725">
      <c r="E725" s="37"/>
      <c r="K725" s="2"/>
      <c r="L725" s="2"/>
    </row>
    <row r="726">
      <c r="E726" s="37"/>
      <c r="K726" s="2"/>
      <c r="L726" s="2"/>
    </row>
    <row r="727">
      <c r="E727" s="37"/>
      <c r="K727" s="2"/>
      <c r="L727" s="2"/>
    </row>
    <row r="728">
      <c r="E728" s="37"/>
      <c r="K728" s="2"/>
      <c r="L728" s="2"/>
    </row>
    <row r="729">
      <c r="E729" s="37"/>
      <c r="K729" s="2"/>
      <c r="L729" s="2"/>
    </row>
    <row r="730">
      <c r="E730" s="37"/>
      <c r="K730" s="2"/>
      <c r="L730" s="2"/>
    </row>
    <row r="731">
      <c r="E731" s="37"/>
      <c r="K731" s="2"/>
      <c r="L731" s="2"/>
    </row>
    <row r="732">
      <c r="E732" s="37"/>
      <c r="K732" s="2"/>
      <c r="L732" s="2"/>
    </row>
    <row r="733">
      <c r="E733" s="37"/>
      <c r="K733" s="2"/>
      <c r="L733" s="2"/>
    </row>
    <row r="734">
      <c r="E734" s="37"/>
      <c r="K734" s="2"/>
      <c r="L734" s="2"/>
    </row>
    <row r="735">
      <c r="E735" s="37"/>
      <c r="K735" s="2"/>
      <c r="L735" s="2"/>
    </row>
    <row r="736">
      <c r="E736" s="37"/>
      <c r="K736" s="2"/>
      <c r="L736" s="2"/>
    </row>
    <row r="737">
      <c r="E737" s="37"/>
      <c r="K737" s="2"/>
      <c r="L737" s="2"/>
    </row>
    <row r="738">
      <c r="E738" s="37"/>
      <c r="K738" s="2"/>
      <c r="L738" s="2"/>
    </row>
    <row r="739">
      <c r="E739" s="37"/>
      <c r="K739" s="2"/>
      <c r="L739" s="2"/>
    </row>
    <row r="740">
      <c r="E740" s="37"/>
      <c r="K740" s="2"/>
      <c r="L740" s="2"/>
    </row>
    <row r="741">
      <c r="E741" s="37"/>
      <c r="K741" s="2"/>
      <c r="L741" s="2"/>
    </row>
    <row r="742">
      <c r="E742" s="37"/>
      <c r="K742" s="2"/>
      <c r="L742" s="2"/>
    </row>
    <row r="743">
      <c r="E743" s="37"/>
      <c r="K743" s="2"/>
      <c r="L743" s="2"/>
    </row>
    <row r="744">
      <c r="E744" s="37"/>
      <c r="K744" s="2"/>
      <c r="L744" s="2"/>
    </row>
    <row r="745">
      <c r="E745" s="37"/>
      <c r="K745" s="2"/>
      <c r="L745" s="2"/>
    </row>
    <row r="746">
      <c r="E746" s="37"/>
      <c r="K746" s="2"/>
      <c r="L746" s="2"/>
    </row>
    <row r="747">
      <c r="E747" s="37"/>
      <c r="K747" s="2"/>
      <c r="L747" s="2"/>
    </row>
    <row r="748">
      <c r="E748" s="37"/>
      <c r="K748" s="2"/>
      <c r="L748" s="2"/>
    </row>
    <row r="749">
      <c r="E749" s="37"/>
      <c r="K749" s="2"/>
      <c r="L749" s="2"/>
    </row>
    <row r="750">
      <c r="E750" s="37"/>
      <c r="K750" s="2"/>
      <c r="L750" s="2"/>
    </row>
    <row r="751">
      <c r="E751" s="37"/>
      <c r="K751" s="2"/>
      <c r="L751" s="2"/>
    </row>
    <row r="752">
      <c r="E752" s="37"/>
      <c r="K752" s="2"/>
      <c r="L752" s="2"/>
    </row>
    <row r="753">
      <c r="E753" s="37"/>
      <c r="K753" s="2"/>
      <c r="L753" s="2"/>
    </row>
    <row r="754">
      <c r="E754" s="37"/>
      <c r="K754" s="2"/>
      <c r="L754" s="2"/>
    </row>
    <row r="755">
      <c r="E755" s="37"/>
      <c r="K755" s="2"/>
      <c r="L755" s="2"/>
    </row>
    <row r="756">
      <c r="E756" s="37"/>
      <c r="K756" s="2"/>
      <c r="L756" s="2"/>
    </row>
    <row r="757">
      <c r="E757" s="37"/>
      <c r="K757" s="2"/>
      <c r="L757" s="2"/>
    </row>
    <row r="758">
      <c r="E758" s="37"/>
      <c r="K758" s="2"/>
      <c r="L758" s="2"/>
    </row>
    <row r="759">
      <c r="E759" s="37"/>
      <c r="K759" s="2"/>
      <c r="L759" s="2"/>
    </row>
    <row r="760">
      <c r="E760" s="37"/>
      <c r="K760" s="2"/>
      <c r="L760" s="2"/>
    </row>
    <row r="761">
      <c r="E761" s="37"/>
      <c r="K761" s="2"/>
      <c r="L761" s="2"/>
    </row>
    <row r="762">
      <c r="E762" s="37"/>
      <c r="K762" s="2"/>
      <c r="L762" s="2"/>
    </row>
    <row r="763">
      <c r="E763" s="37"/>
      <c r="K763" s="2"/>
      <c r="L763" s="2"/>
    </row>
    <row r="764">
      <c r="E764" s="37"/>
      <c r="K764" s="2"/>
      <c r="L764" s="2"/>
    </row>
    <row r="765">
      <c r="E765" s="37"/>
      <c r="K765" s="2"/>
      <c r="L765" s="2"/>
    </row>
    <row r="766">
      <c r="E766" s="37"/>
      <c r="K766" s="2"/>
      <c r="L766" s="2"/>
    </row>
    <row r="767">
      <c r="E767" s="37"/>
      <c r="K767" s="2"/>
      <c r="L767" s="2"/>
    </row>
    <row r="768">
      <c r="E768" s="37"/>
      <c r="K768" s="2"/>
      <c r="L768" s="2"/>
    </row>
    <row r="769">
      <c r="E769" s="37"/>
      <c r="K769" s="2"/>
      <c r="L769" s="2"/>
    </row>
    <row r="770">
      <c r="E770" s="37"/>
      <c r="K770" s="2"/>
      <c r="L770" s="2"/>
    </row>
    <row r="771">
      <c r="E771" s="37"/>
      <c r="K771" s="2"/>
      <c r="L771" s="2"/>
    </row>
    <row r="772">
      <c r="E772" s="37"/>
      <c r="K772" s="2"/>
      <c r="L772" s="2"/>
    </row>
    <row r="773">
      <c r="E773" s="37"/>
      <c r="K773" s="2"/>
      <c r="L773" s="2"/>
    </row>
    <row r="774">
      <c r="E774" s="37"/>
      <c r="K774" s="2"/>
      <c r="L774" s="2"/>
    </row>
    <row r="775">
      <c r="E775" s="37"/>
      <c r="K775" s="2"/>
      <c r="L775" s="2"/>
    </row>
    <row r="776">
      <c r="E776" s="37"/>
      <c r="K776" s="2"/>
      <c r="L776" s="2"/>
    </row>
    <row r="777">
      <c r="E777" s="37"/>
      <c r="K777" s="2"/>
      <c r="L777" s="2"/>
    </row>
    <row r="778">
      <c r="E778" s="37"/>
      <c r="K778" s="2"/>
      <c r="L778" s="2"/>
    </row>
    <row r="779">
      <c r="E779" s="37"/>
      <c r="K779" s="2"/>
      <c r="L779" s="2"/>
    </row>
    <row r="780">
      <c r="E780" s="37"/>
      <c r="K780" s="2"/>
      <c r="L780" s="2"/>
    </row>
    <row r="781">
      <c r="E781" s="37"/>
      <c r="K781" s="2"/>
      <c r="L781" s="2"/>
    </row>
    <row r="782">
      <c r="E782" s="37"/>
      <c r="K782" s="2"/>
      <c r="L782" s="2"/>
    </row>
    <row r="783">
      <c r="E783" s="37"/>
      <c r="K783" s="2"/>
      <c r="L783" s="2"/>
    </row>
    <row r="784">
      <c r="E784" s="37"/>
      <c r="K784" s="2"/>
      <c r="L784" s="2"/>
    </row>
    <row r="785">
      <c r="E785" s="37"/>
      <c r="K785" s="2"/>
      <c r="L785" s="2"/>
    </row>
    <row r="786">
      <c r="E786" s="37"/>
      <c r="K786" s="2"/>
      <c r="L786" s="2"/>
    </row>
    <row r="787">
      <c r="E787" s="37"/>
      <c r="K787" s="2"/>
      <c r="L787" s="2"/>
    </row>
    <row r="788">
      <c r="E788" s="37"/>
      <c r="K788" s="2"/>
      <c r="L788" s="2"/>
    </row>
    <row r="789">
      <c r="E789" s="37"/>
      <c r="K789" s="2"/>
      <c r="L789" s="2"/>
    </row>
    <row r="790">
      <c r="E790" s="37"/>
      <c r="K790" s="2"/>
      <c r="L790" s="2"/>
    </row>
    <row r="791">
      <c r="E791" s="37"/>
      <c r="K791" s="2"/>
      <c r="L791" s="2"/>
    </row>
    <row r="792">
      <c r="E792" s="37"/>
      <c r="K792" s="2"/>
      <c r="L792" s="2"/>
    </row>
    <row r="793">
      <c r="E793" s="37"/>
      <c r="K793" s="2"/>
      <c r="L793" s="2"/>
    </row>
    <row r="794">
      <c r="E794" s="37"/>
      <c r="K794" s="2"/>
      <c r="L794" s="2"/>
    </row>
    <row r="795">
      <c r="E795" s="37"/>
      <c r="K795" s="2"/>
      <c r="L795" s="2"/>
    </row>
    <row r="796">
      <c r="E796" s="37"/>
      <c r="K796" s="2"/>
      <c r="L796" s="2"/>
    </row>
    <row r="797">
      <c r="E797" s="37"/>
      <c r="K797" s="2"/>
      <c r="L797" s="2"/>
    </row>
    <row r="798">
      <c r="E798" s="37"/>
      <c r="K798" s="2"/>
      <c r="L798" s="2"/>
    </row>
    <row r="799">
      <c r="E799" s="37"/>
      <c r="K799" s="2"/>
      <c r="L799" s="2"/>
    </row>
    <row r="800">
      <c r="E800" s="37"/>
      <c r="K800" s="2"/>
      <c r="L800" s="2"/>
    </row>
    <row r="801">
      <c r="E801" s="37"/>
      <c r="K801" s="2"/>
      <c r="L801" s="2"/>
    </row>
    <row r="802">
      <c r="E802" s="37"/>
      <c r="K802" s="2"/>
      <c r="L802" s="2"/>
    </row>
    <row r="803">
      <c r="E803" s="37"/>
      <c r="K803" s="2"/>
      <c r="L803" s="2"/>
    </row>
    <row r="804">
      <c r="E804" s="37"/>
      <c r="K804" s="2"/>
      <c r="L804" s="2"/>
    </row>
    <row r="805">
      <c r="E805" s="37"/>
      <c r="K805" s="2"/>
      <c r="L805" s="2"/>
    </row>
    <row r="806">
      <c r="E806" s="37"/>
      <c r="K806" s="2"/>
      <c r="L806" s="2"/>
    </row>
    <row r="807">
      <c r="E807" s="37"/>
      <c r="K807" s="2"/>
      <c r="L807" s="2"/>
    </row>
    <row r="808">
      <c r="E808" s="37"/>
      <c r="K808" s="2"/>
      <c r="L808" s="2"/>
    </row>
    <row r="809">
      <c r="E809" s="37"/>
      <c r="K809" s="2"/>
      <c r="L809" s="2"/>
    </row>
    <row r="810">
      <c r="E810" s="37"/>
      <c r="K810" s="2"/>
      <c r="L810" s="2"/>
    </row>
    <row r="811">
      <c r="E811" s="37"/>
      <c r="K811" s="2"/>
      <c r="L811" s="2"/>
    </row>
    <row r="812">
      <c r="E812" s="37"/>
      <c r="K812" s="2"/>
      <c r="L812" s="2"/>
    </row>
    <row r="813">
      <c r="E813" s="37"/>
      <c r="K813" s="2"/>
      <c r="L813" s="2"/>
    </row>
    <row r="814">
      <c r="E814" s="37"/>
      <c r="K814" s="2"/>
      <c r="L814" s="2"/>
    </row>
    <row r="815">
      <c r="E815" s="37"/>
      <c r="K815" s="2"/>
      <c r="L815" s="2"/>
    </row>
    <row r="816">
      <c r="E816" s="37"/>
      <c r="K816" s="2"/>
      <c r="L816" s="2"/>
    </row>
  </sheetData>
  <mergeCells count="817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12:C812"/>
    <mergeCell ref="B813:C813"/>
    <mergeCell ref="B814:C814"/>
    <mergeCell ref="B815:C815"/>
    <mergeCell ref="B816:C816"/>
    <mergeCell ref="B805:C805"/>
    <mergeCell ref="B806:C806"/>
    <mergeCell ref="B807:C807"/>
    <mergeCell ref="B808:C808"/>
    <mergeCell ref="B809:C809"/>
    <mergeCell ref="B810:C810"/>
    <mergeCell ref="B811:C811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9">
      <formula1>Data!$F$1:$F$1000</formula1>
    </dataValidation>
    <dataValidation type="custom" allowBlank="1" showDropDown="1" showErrorMessage="1" sqref="AB1:AC1 K4:L816">
      <formula1>OR(NOT(ISERROR(DATEVALUE(K1))), AND(ISNUMBER(K1), LEFT(CELL("format", K1))="D"))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44</v>
      </c>
      <c r="B1" s="39"/>
      <c r="C1" s="39"/>
      <c r="D1" s="39"/>
      <c r="E1" s="39"/>
      <c r="F1" s="39"/>
      <c r="G1" s="39"/>
      <c r="H1" s="13"/>
    </row>
    <row r="2">
      <c r="A2" s="40" t="s">
        <v>45</v>
      </c>
      <c r="B2" s="41"/>
      <c r="C2" s="15"/>
      <c r="D2" s="21"/>
      <c r="E2" s="42" t="s">
        <v>46</v>
      </c>
      <c r="F2" s="43"/>
      <c r="G2" s="42" t="s">
        <v>47</v>
      </c>
      <c r="H2" s="44"/>
    </row>
    <row r="3">
      <c r="A3" s="45" t="s">
        <v>48</v>
      </c>
      <c r="B3" s="46"/>
      <c r="C3" s="15"/>
      <c r="D3" s="21"/>
      <c r="E3" s="47" t="s">
        <v>49</v>
      </c>
      <c r="F3" s="48"/>
      <c r="G3" s="42" t="s">
        <v>50</v>
      </c>
      <c r="H3" s="44"/>
    </row>
    <row r="4">
      <c r="A4" s="49"/>
      <c r="B4" s="15"/>
      <c r="C4" s="15"/>
      <c r="D4" s="21"/>
      <c r="E4" s="42" t="s">
        <v>51</v>
      </c>
      <c r="F4" s="43"/>
      <c r="G4" s="42" t="s">
        <v>52</v>
      </c>
      <c r="H4" s="44"/>
    </row>
    <row r="5">
      <c r="A5" s="49"/>
      <c r="B5" s="15"/>
      <c r="C5" s="15"/>
      <c r="D5" s="21"/>
      <c r="E5" s="42" t="s">
        <v>53</v>
      </c>
      <c r="F5" s="50"/>
      <c r="G5" s="51" t="s">
        <v>54</v>
      </c>
      <c r="H5" s="44"/>
    </row>
    <row r="6">
      <c r="A6" s="52" t="s">
        <v>55</v>
      </c>
      <c r="B6" s="52"/>
      <c r="C6" s="52" t="s">
        <v>56</v>
      </c>
      <c r="D6" s="53"/>
      <c r="E6" s="54" t="s">
        <v>57</v>
      </c>
      <c r="F6" s="39"/>
      <c r="G6" s="13"/>
      <c r="H6" s="55"/>
    </row>
    <row r="7">
      <c r="A7" s="56"/>
      <c r="B7" s="56" t="s">
        <v>58</v>
      </c>
      <c r="C7" s="57"/>
      <c r="D7" s="58" t="s">
        <v>59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1"/>
      <c r="B8" s="62"/>
      <c r="C8" s="57"/>
      <c r="D8" s="58" t="s">
        <v>59</v>
      </c>
      <c r="E8" s="59"/>
      <c r="F8" s="15"/>
      <c r="G8" s="21"/>
      <c r="H8" s="60" t="str">
        <f t="shared" si="1"/>
        <v/>
      </c>
    </row>
    <row r="9">
      <c r="A9" s="63"/>
      <c r="B9" s="62"/>
      <c r="C9" s="57"/>
      <c r="D9" s="58" t="s">
        <v>59</v>
      </c>
      <c r="E9" s="59"/>
      <c r="F9" s="15"/>
      <c r="G9" s="21"/>
      <c r="H9" s="60" t="str">
        <f t="shared" si="1"/>
        <v/>
      </c>
    </row>
    <row r="10">
      <c r="A10" s="63"/>
      <c r="B10" s="62"/>
      <c r="C10" s="57"/>
      <c r="D10" s="58" t="s">
        <v>59</v>
      </c>
      <c r="E10" s="59"/>
      <c r="F10" s="15"/>
      <c r="G10" s="21"/>
      <c r="H10" s="60" t="str">
        <f t="shared" si="1"/>
        <v/>
      </c>
    </row>
    <row r="11">
      <c r="A11" s="63"/>
      <c r="B11" s="62"/>
      <c r="C11" s="57"/>
      <c r="D11" s="58" t="s">
        <v>59</v>
      </c>
      <c r="E11" s="59"/>
      <c r="F11" s="15"/>
      <c r="G11" s="21"/>
      <c r="H11" s="60" t="str">
        <f t="shared" si="1"/>
        <v/>
      </c>
    </row>
    <row r="12">
      <c r="A12" s="63"/>
      <c r="B12" s="62"/>
      <c r="C12" s="57"/>
      <c r="D12" s="58" t="s">
        <v>59</v>
      </c>
      <c r="E12" s="59"/>
      <c r="F12" s="15"/>
      <c r="G12" s="21"/>
      <c r="H12" s="60" t="str">
        <f t="shared" si="1"/>
        <v/>
      </c>
    </row>
    <row r="13">
      <c r="A13" s="63"/>
      <c r="B13" s="62"/>
      <c r="C13" s="57"/>
      <c r="D13" s="58" t="s">
        <v>59</v>
      </c>
      <c r="E13" s="59"/>
      <c r="F13" s="15"/>
      <c r="G13" s="21"/>
      <c r="H13" s="60" t="str">
        <f t="shared" si="1"/>
        <v/>
      </c>
    </row>
    <row r="14">
      <c r="A14" s="63"/>
      <c r="B14" s="64" t="s">
        <v>60</v>
      </c>
      <c r="C14" s="65"/>
      <c r="D14" s="66" t="s">
        <v>59</v>
      </c>
      <c r="E14" s="59"/>
      <c r="F14" s="15"/>
      <c r="G14" s="21"/>
      <c r="H14" s="67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61</v>
      </c>
      <c r="C15" s="69"/>
      <c r="D15" s="66" t="s">
        <v>59</v>
      </c>
      <c r="E15" s="59"/>
      <c r="F15" s="15"/>
      <c r="G15" s="21"/>
      <c r="H15" s="6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62</v>
      </c>
      <c r="C16" s="21"/>
      <c r="D16" s="66" t="s">
        <v>59</v>
      </c>
      <c r="E16" s="59"/>
      <c r="F16" s="15"/>
      <c r="G16" s="21"/>
      <c r="H16" s="6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63</v>
      </c>
      <c r="C17" s="72"/>
      <c r="D17" s="73" t="s">
        <v>59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4"/>
      <c r="B18" s="75"/>
      <c r="C18" s="72"/>
      <c r="D18" s="73" t="s">
        <v>59</v>
      </c>
      <c r="E18" s="49"/>
      <c r="F18" s="15"/>
      <c r="G18" s="21"/>
      <c r="H18" s="60" t="str">
        <f t="shared" si="3"/>
        <v/>
      </c>
    </row>
    <row r="19">
      <c r="A19" s="63"/>
      <c r="B19" s="75"/>
      <c r="C19" s="72"/>
      <c r="D19" s="73" t="s">
        <v>59</v>
      </c>
      <c r="E19" s="49"/>
      <c r="F19" s="15"/>
      <c r="G19" s="21"/>
      <c r="H19" s="60" t="str">
        <f t="shared" si="3"/>
        <v/>
      </c>
    </row>
    <row r="20">
      <c r="A20" s="63"/>
      <c r="B20" s="75"/>
      <c r="C20" s="72"/>
      <c r="D20" s="73" t="s">
        <v>59</v>
      </c>
      <c r="E20" s="49"/>
      <c r="F20" s="15"/>
      <c r="G20" s="21"/>
      <c r="H20" s="60" t="str">
        <f t="shared" si="3"/>
        <v/>
      </c>
    </row>
    <row r="21">
      <c r="A21" s="63"/>
      <c r="B21" s="75"/>
      <c r="C21" s="72"/>
      <c r="D21" s="73" t="s">
        <v>59</v>
      </c>
      <c r="E21" s="49"/>
      <c r="F21" s="15"/>
      <c r="G21" s="21"/>
      <c r="H21" s="60" t="str">
        <f t="shared" si="3"/>
        <v/>
      </c>
    </row>
    <row r="22">
      <c r="A22" s="63"/>
      <c r="B22" s="75"/>
      <c r="C22" s="72"/>
      <c r="D22" s="73" t="s">
        <v>59</v>
      </c>
      <c r="E22" s="49"/>
      <c r="F22" s="15"/>
      <c r="G22" s="21"/>
      <c r="H22" s="60" t="str">
        <f t="shared" si="3"/>
        <v/>
      </c>
    </row>
    <row r="23">
      <c r="A23" s="63"/>
      <c r="B23" s="75"/>
      <c r="C23" s="72"/>
      <c r="D23" s="73" t="s">
        <v>59</v>
      </c>
      <c r="E23" s="49"/>
      <c r="F23" s="15"/>
      <c r="G23" s="21"/>
      <c r="H23" s="60" t="str">
        <f t="shared" si="3"/>
        <v/>
      </c>
    </row>
    <row r="24">
      <c r="A24" s="63"/>
      <c r="B24" s="76" t="s">
        <v>64</v>
      </c>
      <c r="C24" s="77"/>
      <c r="D24" s="78" t="s">
        <v>59</v>
      </c>
      <c r="E24" s="49"/>
      <c r="F24" s="15"/>
      <c r="G24" s="21"/>
      <c r="H24" s="67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65</v>
      </c>
      <c r="C25" s="69"/>
      <c r="D25" s="78" t="s">
        <v>59</v>
      </c>
      <c r="E25" s="49"/>
      <c r="F25" s="15"/>
      <c r="G25" s="21"/>
      <c r="H25" s="6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66</v>
      </c>
      <c r="C26" s="21"/>
      <c r="D26" s="78" t="s">
        <v>59</v>
      </c>
      <c r="E26" s="49"/>
      <c r="F26" s="15"/>
      <c r="G26" s="21"/>
      <c r="H26" s="6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/>
      <c r="B27" s="56" t="s">
        <v>63</v>
      </c>
      <c r="C27" s="57"/>
      <c r="D27" s="58" t="s">
        <v>59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1"/>
      <c r="B28" s="62"/>
      <c r="C28" s="57"/>
      <c r="D28" s="58" t="s">
        <v>59</v>
      </c>
      <c r="E28" s="59"/>
      <c r="F28" s="15"/>
      <c r="G28" s="21"/>
      <c r="H28" s="60" t="str">
        <f t="shared" si="5"/>
        <v/>
      </c>
    </row>
    <row r="29">
      <c r="A29" s="63"/>
      <c r="B29" s="62"/>
      <c r="C29" s="57"/>
      <c r="D29" s="58" t="s">
        <v>59</v>
      </c>
      <c r="E29" s="59"/>
      <c r="F29" s="15"/>
      <c r="G29" s="21"/>
      <c r="H29" s="60" t="str">
        <f t="shared" si="5"/>
        <v/>
      </c>
    </row>
    <row r="30">
      <c r="A30" s="63"/>
      <c r="B30" s="62"/>
      <c r="C30" s="57"/>
      <c r="D30" s="58" t="s">
        <v>59</v>
      </c>
      <c r="E30" s="59"/>
      <c r="F30" s="15"/>
      <c r="G30" s="21"/>
      <c r="H30" s="60" t="str">
        <f t="shared" si="5"/>
        <v/>
      </c>
    </row>
    <row r="31">
      <c r="A31" s="63"/>
      <c r="B31" s="62"/>
      <c r="C31" s="57"/>
      <c r="D31" s="58" t="s">
        <v>59</v>
      </c>
      <c r="E31" s="59"/>
      <c r="F31" s="15"/>
      <c r="G31" s="21"/>
      <c r="H31" s="60" t="str">
        <f t="shared" si="5"/>
        <v/>
      </c>
    </row>
    <row r="32">
      <c r="A32" s="63"/>
      <c r="B32" s="62"/>
      <c r="C32" s="57"/>
      <c r="D32" s="58" t="s">
        <v>59</v>
      </c>
      <c r="E32" s="59"/>
      <c r="F32" s="15"/>
      <c r="G32" s="21"/>
      <c r="H32" s="60" t="str">
        <f t="shared" si="5"/>
        <v/>
      </c>
    </row>
    <row r="33">
      <c r="A33" s="63"/>
      <c r="B33" s="62"/>
      <c r="C33" s="57"/>
      <c r="D33" s="58" t="s">
        <v>59</v>
      </c>
      <c r="E33" s="59"/>
      <c r="F33" s="15"/>
      <c r="G33" s="21"/>
      <c r="H33" s="60" t="str">
        <f t="shared" si="5"/>
        <v/>
      </c>
    </row>
    <row r="34">
      <c r="A34" s="63"/>
      <c r="B34" s="64" t="s">
        <v>67</v>
      </c>
      <c r="C34" s="65"/>
      <c r="D34" s="66" t="s">
        <v>59</v>
      </c>
      <c r="E34" s="59"/>
      <c r="F34" s="15"/>
      <c r="G34" s="21"/>
      <c r="H34" s="67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68</v>
      </c>
      <c r="C35" s="69"/>
      <c r="D35" s="66" t="s">
        <v>59</v>
      </c>
      <c r="E35" s="59"/>
      <c r="F35" s="15"/>
      <c r="G35" s="21"/>
      <c r="H35" s="67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69</v>
      </c>
      <c r="C36" s="21"/>
      <c r="D36" s="66" t="s">
        <v>59</v>
      </c>
      <c r="E36" s="59"/>
      <c r="F36" s="15"/>
      <c r="G36" s="21"/>
      <c r="H36" s="67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/>
      <c r="B37" s="71" t="s">
        <v>63</v>
      </c>
      <c r="C37" s="72"/>
      <c r="D37" s="73" t="s">
        <v>59</v>
      </c>
      <c r="E37" s="49"/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74"/>
      <c r="B38" s="75"/>
      <c r="C38" s="72"/>
      <c r="D38" s="73" t="s">
        <v>59</v>
      </c>
      <c r="E38" s="49"/>
      <c r="F38" s="15"/>
      <c r="G38" s="21"/>
      <c r="H38" s="60" t="str">
        <f t="shared" si="7"/>
        <v/>
      </c>
    </row>
    <row r="39">
      <c r="A39" s="63"/>
      <c r="B39" s="75"/>
      <c r="C39" s="72"/>
      <c r="D39" s="73" t="s">
        <v>59</v>
      </c>
      <c r="E39" s="49"/>
      <c r="F39" s="15"/>
      <c r="G39" s="21"/>
      <c r="H39" s="60" t="str">
        <f t="shared" si="7"/>
        <v/>
      </c>
    </row>
    <row r="40">
      <c r="A40" s="63"/>
      <c r="B40" s="75"/>
      <c r="C40" s="72"/>
      <c r="D40" s="73" t="s">
        <v>59</v>
      </c>
      <c r="E40" s="49"/>
      <c r="F40" s="15"/>
      <c r="G40" s="21"/>
      <c r="H40" s="60" t="str">
        <f t="shared" si="7"/>
        <v/>
      </c>
    </row>
    <row r="41">
      <c r="A41" s="63"/>
      <c r="B41" s="75"/>
      <c r="C41" s="72"/>
      <c r="D41" s="73" t="s">
        <v>59</v>
      </c>
      <c r="E41" s="49"/>
      <c r="F41" s="15"/>
      <c r="G41" s="21"/>
      <c r="H41" s="60" t="str">
        <f t="shared" si="7"/>
        <v/>
      </c>
    </row>
    <row r="42">
      <c r="A42" s="63"/>
      <c r="B42" s="75"/>
      <c r="C42" s="72"/>
      <c r="D42" s="73" t="s">
        <v>59</v>
      </c>
      <c r="E42" s="49"/>
      <c r="F42" s="15"/>
      <c r="G42" s="21"/>
      <c r="H42" s="60" t="str">
        <f t="shared" si="7"/>
        <v/>
      </c>
    </row>
    <row r="43">
      <c r="A43" s="63"/>
      <c r="B43" s="75"/>
      <c r="C43" s="72"/>
      <c r="D43" s="73" t="s">
        <v>59</v>
      </c>
      <c r="E43" s="49"/>
      <c r="F43" s="15"/>
      <c r="G43" s="21"/>
      <c r="H43" s="60" t="str">
        <f t="shared" si="7"/>
        <v/>
      </c>
    </row>
    <row r="44">
      <c r="A44" s="63"/>
      <c r="B44" s="76" t="s">
        <v>70</v>
      </c>
      <c r="C44" s="77"/>
      <c r="D44" s="78" t="s">
        <v>59</v>
      </c>
      <c r="E44" s="49"/>
      <c r="F44" s="15"/>
      <c r="G44" s="21"/>
      <c r="H44" s="67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71</v>
      </c>
      <c r="C45" s="69"/>
      <c r="D45" s="78" t="s">
        <v>59</v>
      </c>
      <c r="E45" s="49"/>
      <c r="F45" s="15"/>
      <c r="G45" s="21"/>
      <c r="H45" s="67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72</v>
      </c>
      <c r="C46" s="21"/>
      <c r="D46" s="78" t="s">
        <v>59</v>
      </c>
      <c r="E46" s="49"/>
      <c r="F46" s="15"/>
      <c r="G46" s="21"/>
      <c r="H46" s="67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/>
      <c r="B47" s="56" t="s">
        <v>63</v>
      </c>
      <c r="C47" s="57"/>
      <c r="D47" s="58" t="s">
        <v>59</v>
      </c>
      <c r="E47" s="59"/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61"/>
      <c r="B48" s="62"/>
      <c r="C48" s="57"/>
      <c r="D48" s="58" t="s">
        <v>59</v>
      </c>
      <c r="E48" s="59"/>
      <c r="F48" s="15"/>
      <c r="G48" s="21"/>
      <c r="H48" s="60" t="str">
        <f t="shared" si="9"/>
        <v/>
      </c>
    </row>
    <row r="49">
      <c r="A49" s="63"/>
      <c r="B49" s="62"/>
      <c r="C49" s="57"/>
      <c r="D49" s="58" t="s">
        <v>59</v>
      </c>
      <c r="E49" s="59"/>
      <c r="F49" s="15"/>
      <c r="G49" s="21"/>
      <c r="H49" s="60" t="str">
        <f t="shared" si="9"/>
        <v/>
      </c>
    </row>
    <row r="50">
      <c r="A50" s="63"/>
      <c r="B50" s="62"/>
      <c r="C50" s="57"/>
      <c r="D50" s="58" t="s">
        <v>59</v>
      </c>
      <c r="E50" s="59"/>
      <c r="F50" s="15"/>
      <c r="G50" s="21"/>
      <c r="H50" s="60" t="str">
        <f t="shared" si="9"/>
        <v/>
      </c>
    </row>
    <row r="51">
      <c r="A51" s="63"/>
      <c r="B51" s="62"/>
      <c r="C51" s="57"/>
      <c r="D51" s="58" t="s">
        <v>59</v>
      </c>
      <c r="E51" s="59"/>
      <c r="F51" s="15"/>
      <c r="G51" s="21"/>
      <c r="H51" s="60" t="str">
        <f t="shared" si="9"/>
        <v/>
      </c>
    </row>
    <row r="52">
      <c r="A52" s="63"/>
      <c r="B52" s="62"/>
      <c r="C52" s="57"/>
      <c r="D52" s="58" t="s">
        <v>59</v>
      </c>
      <c r="E52" s="59"/>
      <c r="F52" s="15"/>
      <c r="G52" s="21"/>
      <c r="H52" s="60" t="str">
        <f t="shared" si="9"/>
        <v/>
      </c>
    </row>
    <row r="53">
      <c r="A53" s="63"/>
      <c r="B53" s="62"/>
      <c r="C53" s="57"/>
      <c r="D53" s="58" t="s">
        <v>59</v>
      </c>
      <c r="E53" s="59"/>
      <c r="F53" s="15"/>
      <c r="G53" s="21"/>
      <c r="H53" s="60" t="str">
        <f t="shared" si="9"/>
        <v/>
      </c>
    </row>
    <row r="54">
      <c r="A54" s="63"/>
      <c r="B54" s="80" t="s">
        <v>73</v>
      </c>
      <c r="C54" s="81"/>
      <c r="D54" s="58" t="s">
        <v>59</v>
      </c>
      <c r="E54" s="59"/>
      <c r="F54" s="15"/>
      <c r="G54" s="21"/>
      <c r="H54" s="82" t="str">
        <f t="shared" ref="H54:H56" si="10">IF(D54="Pass", "Pass", IF(D54="Fail", "Fail", ""))</f>
        <v/>
      </c>
    </row>
    <row r="55">
      <c r="A55" s="63"/>
      <c r="B55" s="80" t="s">
        <v>74</v>
      </c>
      <c r="C55" s="69"/>
      <c r="D55" s="58" t="s">
        <v>59</v>
      </c>
      <c r="E55" s="59"/>
      <c r="F55" s="15"/>
      <c r="G55" s="21"/>
      <c r="H55" s="82" t="str">
        <f t="shared" si="10"/>
        <v/>
      </c>
    </row>
    <row r="56">
      <c r="A56" s="70"/>
      <c r="B56" s="80" t="s">
        <v>75</v>
      </c>
      <c r="C56" s="21"/>
      <c r="D56" s="58" t="s">
        <v>59</v>
      </c>
      <c r="E56" s="59"/>
      <c r="F56" s="15"/>
      <c r="G56" s="21"/>
      <c r="H56" s="82" t="str">
        <f t="shared" si="10"/>
        <v/>
      </c>
    </row>
    <row r="57">
      <c r="A57" s="83" t="s">
        <v>76</v>
      </c>
      <c r="B57" s="15"/>
      <c r="C57" s="21"/>
      <c r="D57" s="84" t="s">
        <v>77</v>
      </c>
      <c r="E57" s="15"/>
      <c r="F57" s="15"/>
      <c r="G57" s="15"/>
      <c r="H57" s="85"/>
    </row>
    <row r="58">
      <c r="A58" s="86" t="s">
        <v>1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78</v>
      </c>
      <c r="B2" s="89"/>
      <c r="C2" s="15"/>
      <c r="D2" s="21"/>
      <c r="E2" s="42" t="s">
        <v>46</v>
      </c>
      <c r="F2" s="43"/>
      <c r="G2" s="42" t="s">
        <v>47</v>
      </c>
      <c r="H2" s="44"/>
    </row>
    <row r="3">
      <c r="A3" s="90" t="s">
        <v>48</v>
      </c>
      <c r="B3" s="91"/>
      <c r="C3" s="15"/>
      <c r="D3" s="21"/>
      <c r="E3" s="47" t="s">
        <v>49</v>
      </c>
      <c r="F3" s="48"/>
      <c r="G3" s="42" t="s">
        <v>50</v>
      </c>
      <c r="H3" s="44"/>
    </row>
    <row r="4">
      <c r="A4" s="92"/>
      <c r="B4" s="15"/>
      <c r="C4" s="15"/>
      <c r="D4" s="21"/>
      <c r="E4" s="42" t="s">
        <v>51</v>
      </c>
      <c r="F4" s="43"/>
      <c r="G4" s="42" t="s">
        <v>52</v>
      </c>
      <c r="H4" s="44"/>
    </row>
    <row r="5">
      <c r="A5" s="92"/>
      <c r="B5" s="15"/>
      <c r="C5" s="15"/>
      <c r="D5" s="21"/>
      <c r="E5" s="42" t="s">
        <v>53</v>
      </c>
      <c r="F5" s="50"/>
      <c r="G5" s="51" t="s">
        <v>79</v>
      </c>
      <c r="H5" s="44"/>
    </row>
    <row r="6">
      <c r="A6" s="93" t="s">
        <v>80</v>
      </c>
      <c r="B6" s="93"/>
      <c r="C6" s="52" t="s">
        <v>81</v>
      </c>
      <c r="D6" s="53"/>
      <c r="E6" s="54" t="s">
        <v>82</v>
      </c>
      <c r="F6" s="39"/>
      <c r="G6" s="13"/>
      <c r="H6" s="55"/>
    </row>
    <row r="7">
      <c r="A7" s="56"/>
      <c r="B7" s="94" t="s">
        <v>83</v>
      </c>
      <c r="C7" s="57"/>
      <c r="D7" s="58" t="s">
        <v>59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7"/>
      <c r="D8" s="58" t="s">
        <v>59</v>
      </c>
      <c r="E8" s="59"/>
      <c r="F8" s="15"/>
      <c r="G8" s="21"/>
      <c r="H8" s="60" t="str">
        <f t="shared" si="1"/>
        <v/>
      </c>
    </row>
    <row r="9">
      <c r="A9" s="63"/>
      <c r="B9" s="96"/>
      <c r="C9" s="57"/>
      <c r="D9" s="58" t="s">
        <v>59</v>
      </c>
      <c r="E9" s="59"/>
      <c r="F9" s="15"/>
      <c r="G9" s="21"/>
      <c r="H9" s="60" t="str">
        <f t="shared" si="1"/>
        <v/>
      </c>
    </row>
    <row r="10">
      <c r="A10" s="63"/>
      <c r="B10" s="96"/>
      <c r="C10" s="57"/>
      <c r="D10" s="58" t="s">
        <v>59</v>
      </c>
      <c r="E10" s="59"/>
      <c r="F10" s="15"/>
      <c r="G10" s="21"/>
      <c r="H10" s="60" t="str">
        <f t="shared" si="1"/>
        <v/>
      </c>
    </row>
    <row r="11">
      <c r="A11" s="63"/>
      <c r="B11" s="96"/>
      <c r="C11" s="57"/>
      <c r="D11" s="58" t="s">
        <v>59</v>
      </c>
      <c r="E11" s="59"/>
      <c r="F11" s="15"/>
      <c r="G11" s="21"/>
      <c r="H11" s="60" t="str">
        <f t="shared" si="1"/>
        <v/>
      </c>
    </row>
    <row r="12">
      <c r="A12" s="63"/>
      <c r="B12" s="96"/>
      <c r="C12" s="57"/>
      <c r="D12" s="58" t="s">
        <v>59</v>
      </c>
      <c r="E12" s="59"/>
      <c r="F12" s="15"/>
      <c r="G12" s="21"/>
      <c r="H12" s="60" t="str">
        <f t="shared" si="1"/>
        <v/>
      </c>
    </row>
    <row r="13">
      <c r="A13" s="63"/>
      <c r="B13" s="96"/>
      <c r="C13" s="57"/>
      <c r="D13" s="58" t="s">
        <v>59</v>
      </c>
      <c r="E13" s="59"/>
      <c r="F13" s="15"/>
      <c r="G13" s="21"/>
      <c r="H13" s="60" t="str">
        <f t="shared" si="1"/>
        <v/>
      </c>
    </row>
    <row r="14">
      <c r="A14" s="63"/>
      <c r="B14" s="64" t="s">
        <v>84</v>
      </c>
      <c r="C14" s="65"/>
      <c r="D14" s="97" t="s">
        <v>59</v>
      </c>
      <c r="E14" s="59"/>
      <c r="F14" s="15"/>
      <c r="G14" s="21"/>
      <c r="H14" s="98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85</v>
      </c>
      <c r="C15" s="69"/>
      <c r="D15" s="66" t="s">
        <v>59</v>
      </c>
      <c r="E15" s="59"/>
      <c r="F15" s="15"/>
      <c r="G15" s="21"/>
      <c r="H15" s="9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86</v>
      </c>
      <c r="C16" s="21"/>
      <c r="D16" s="66" t="s">
        <v>59</v>
      </c>
      <c r="E16" s="59"/>
      <c r="F16" s="15"/>
      <c r="G16" s="21"/>
      <c r="H16" s="98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58</v>
      </c>
      <c r="C17" s="72"/>
      <c r="D17" s="73" t="s">
        <v>59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9"/>
      <c r="B18" s="100"/>
      <c r="C18" s="72"/>
      <c r="D18" s="73" t="s">
        <v>59</v>
      </c>
      <c r="E18" s="49"/>
      <c r="F18" s="15"/>
      <c r="G18" s="21"/>
      <c r="H18" s="60" t="str">
        <f t="shared" si="3"/>
        <v/>
      </c>
    </row>
    <row r="19">
      <c r="A19" s="63"/>
      <c r="B19" s="100"/>
      <c r="C19" s="72"/>
      <c r="D19" s="73" t="s">
        <v>59</v>
      </c>
      <c r="E19" s="49"/>
      <c r="F19" s="15"/>
      <c r="G19" s="21"/>
      <c r="H19" s="60" t="str">
        <f t="shared" si="3"/>
        <v/>
      </c>
    </row>
    <row r="20">
      <c r="A20" s="63"/>
      <c r="B20" s="100"/>
      <c r="C20" s="72"/>
      <c r="D20" s="73" t="s">
        <v>59</v>
      </c>
      <c r="E20" s="49"/>
      <c r="F20" s="15"/>
      <c r="G20" s="21"/>
      <c r="H20" s="60" t="str">
        <f t="shared" si="3"/>
        <v/>
      </c>
    </row>
    <row r="21">
      <c r="A21" s="63"/>
      <c r="B21" s="100"/>
      <c r="C21" s="72"/>
      <c r="D21" s="73" t="s">
        <v>59</v>
      </c>
      <c r="E21" s="49"/>
      <c r="F21" s="15"/>
      <c r="G21" s="21"/>
      <c r="H21" s="60" t="str">
        <f t="shared" si="3"/>
        <v/>
      </c>
    </row>
    <row r="22">
      <c r="A22" s="63"/>
      <c r="B22" s="100"/>
      <c r="C22" s="72"/>
      <c r="D22" s="73" t="s">
        <v>59</v>
      </c>
      <c r="E22" s="49"/>
      <c r="F22" s="15"/>
      <c r="G22" s="21"/>
      <c r="H22" s="60" t="str">
        <f t="shared" si="3"/>
        <v/>
      </c>
    </row>
    <row r="23">
      <c r="A23" s="63"/>
      <c r="B23" s="100"/>
      <c r="C23" s="72"/>
      <c r="D23" s="73" t="s">
        <v>59</v>
      </c>
      <c r="E23" s="49"/>
      <c r="F23" s="15"/>
      <c r="G23" s="21"/>
      <c r="H23" s="60" t="str">
        <f t="shared" si="3"/>
        <v/>
      </c>
    </row>
    <row r="24">
      <c r="A24" s="63"/>
      <c r="B24" s="76" t="s">
        <v>87</v>
      </c>
      <c r="C24" s="101"/>
      <c r="D24" s="73" t="s">
        <v>59</v>
      </c>
      <c r="E24" s="49"/>
      <c r="F24" s="15"/>
      <c r="G24" s="21"/>
      <c r="H24" s="82" t="str">
        <f t="shared" ref="H24:H26" si="4">IF(D24="Pass", "Pass", IF(D24="Fail", "Fail", ""))</f>
        <v/>
      </c>
    </row>
    <row r="25">
      <c r="A25" s="63"/>
      <c r="B25" s="79" t="s">
        <v>88</v>
      </c>
      <c r="C25" s="69"/>
      <c r="D25" s="73" t="s">
        <v>59</v>
      </c>
      <c r="E25" s="49"/>
      <c r="F25" s="15"/>
      <c r="G25" s="21"/>
      <c r="H25" s="82" t="str">
        <f t="shared" si="4"/>
        <v/>
      </c>
    </row>
    <row r="26">
      <c r="A26" s="70"/>
      <c r="B26" s="79" t="s">
        <v>89</v>
      </c>
      <c r="C26" s="21"/>
      <c r="D26" s="73" t="s">
        <v>59</v>
      </c>
      <c r="E26" s="49"/>
      <c r="F26" s="15"/>
      <c r="G26" s="21"/>
      <c r="H26" s="82" t="str">
        <f t="shared" si="4"/>
        <v/>
      </c>
    </row>
    <row r="27">
      <c r="A27" s="102" t="s">
        <v>76</v>
      </c>
      <c r="B27" s="15"/>
      <c r="C27" s="21"/>
      <c r="D27" s="54" t="s">
        <v>90</v>
      </c>
      <c r="E27" s="39"/>
      <c r="F27" s="39"/>
      <c r="G27" s="13"/>
      <c r="H27" s="55"/>
    </row>
    <row r="28">
      <c r="A28" s="103" t="s">
        <v>1</v>
      </c>
      <c r="B28" s="15"/>
      <c r="C28" s="21"/>
      <c r="D28" s="49"/>
      <c r="E28" s="15"/>
      <c r="F28" s="15"/>
      <c r="G28" s="15"/>
      <c r="H28" s="21"/>
    </row>
    <row r="29">
      <c r="A29" s="104"/>
      <c r="B29" s="104"/>
    </row>
    <row r="30">
      <c r="A30" s="104"/>
      <c r="B30" s="104"/>
    </row>
    <row r="31">
      <c r="A31" s="104"/>
      <c r="B31" s="104"/>
    </row>
    <row r="32">
      <c r="A32" s="104"/>
      <c r="B32" s="104"/>
    </row>
    <row r="33">
      <c r="A33" s="104"/>
      <c r="B33" s="104"/>
    </row>
    <row r="34">
      <c r="A34" s="104"/>
      <c r="B34" s="104"/>
    </row>
    <row r="35">
      <c r="A35" s="104"/>
      <c r="B35" s="104"/>
    </row>
    <row r="36">
      <c r="A36" s="104"/>
      <c r="B36" s="104"/>
    </row>
    <row r="37">
      <c r="A37" s="104"/>
      <c r="B37" s="104"/>
    </row>
    <row r="38">
      <c r="A38" s="104"/>
      <c r="B38" s="104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91</v>
      </c>
      <c r="B2" s="89"/>
      <c r="C2" s="15"/>
      <c r="D2" s="21"/>
      <c r="E2" s="42" t="s">
        <v>46</v>
      </c>
      <c r="F2" s="43"/>
      <c r="G2" s="42" t="s">
        <v>47</v>
      </c>
      <c r="H2" s="44"/>
    </row>
    <row r="3">
      <c r="A3" s="90" t="s">
        <v>48</v>
      </c>
      <c r="B3" s="91"/>
      <c r="C3" s="15"/>
      <c r="D3" s="21"/>
      <c r="E3" s="47" t="s">
        <v>49</v>
      </c>
      <c r="F3" s="48"/>
      <c r="G3" s="42" t="s">
        <v>50</v>
      </c>
      <c r="H3" s="44"/>
    </row>
    <row r="4">
      <c r="A4" s="92"/>
      <c r="B4" s="15"/>
      <c r="C4" s="15"/>
      <c r="D4" s="21"/>
      <c r="E4" s="42" t="s">
        <v>51</v>
      </c>
      <c r="F4" s="43"/>
      <c r="G4" s="42" t="s">
        <v>52</v>
      </c>
      <c r="H4" s="44"/>
    </row>
    <row r="5">
      <c r="A5" s="92"/>
      <c r="B5" s="15"/>
      <c r="C5" s="15"/>
      <c r="D5" s="21"/>
      <c r="E5" s="42" t="s">
        <v>53</v>
      </c>
      <c r="F5" s="50"/>
      <c r="G5" s="51" t="s">
        <v>79</v>
      </c>
      <c r="H5" s="44"/>
    </row>
    <row r="6">
      <c r="A6" s="93" t="s">
        <v>92</v>
      </c>
      <c r="B6" s="93"/>
      <c r="C6" s="52" t="s">
        <v>93</v>
      </c>
      <c r="D6" s="53"/>
      <c r="E6" s="84" t="s">
        <v>94</v>
      </c>
      <c r="F6" s="15"/>
      <c r="G6" s="15"/>
      <c r="H6" s="85"/>
    </row>
    <row r="7">
      <c r="A7" s="56"/>
      <c r="B7" s="56" t="s">
        <v>58</v>
      </c>
      <c r="C7" s="57"/>
      <c r="D7" s="58" t="s">
        <v>59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7"/>
      <c r="D8" s="58" t="s">
        <v>59</v>
      </c>
      <c r="E8" s="59"/>
      <c r="F8" s="15"/>
      <c r="G8" s="21"/>
      <c r="H8" s="60" t="str">
        <f t="shared" si="1"/>
        <v/>
      </c>
    </row>
    <row r="9">
      <c r="A9" s="63"/>
      <c r="B9" s="96"/>
      <c r="C9" s="57"/>
      <c r="D9" s="58" t="s">
        <v>59</v>
      </c>
      <c r="E9" s="59"/>
      <c r="F9" s="15"/>
      <c r="G9" s="21"/>
      <c r="H9" s="60" t="str">
        <f t="shared" si="1"/>
        <v/>
      </c>
    </row>
    <row r="10">
      <c r="A10" s="63"/>
      <c r="B10" s="96"/>
      <c r="C10" s="57"/>
      <c r="D10" s="58" t="s">
        <v>59</v>
      </c>
      <c r="E10" s="59"/>
      <c r="F10" s="15"/>
      <c r="G10" s="21"/>
      <c r="H10" s="60" t="str">
        <f t="shared" si="1"/>
        <v/>
      </c>
    </row>
    <row r="11">
      <c r="A11" s="63"/>
      <c r="B11" s="96"/>
      <c r="C11" s="57"/>
      <c r="D11" s="58" t="s">
        <v>59</v>
      </c>
      <c r="E11" s="59"/>
      <c r="F11" s="15"/>
      <c r="G11" s="21"/>
      <c r="H11" s="60" t="str">
        <f t="shared" si="1"/>
        <v/>
      </c>
    </row>
    <row r="12">
      <c r="A12" s="63"/>
      <c r="B12" s="96"/>
      <c r="C12" s="57"/>
      <c r="D12" s="58" t="s">
        <v>59</v>
      </c>
      <c r="E12" s="59"/>
      <c r="F12" s="15"/>
      <c r="G12" s="21"/>
      <c r="H12" s="60" t="str">
        <f t="shared" si="1"/>
        <v/>
      </c>
    </row>
    <row r="13">
      <c r="A13" s="63"/>
      <c r="B13" s="96"/>
      <c r="C13" s="57"/>
      <c r="D13" s="58" t="s">
        <v>59</v>
      </c>
      <c r="E13" s="59"/>
      <c r="F13" s="15"/>
      <c r="G13" s="21"/>
      <c r="H13" s="60" t="str">
        <f t="shared" si="1"/>
        <v/>
      </c>
    </row>
    <row r="14">
      <c r="A14" s="63"/>
      <c r="B14" s="64" t="s">
        <v>95</v>
      </c>
      <c r="C14" s="65"/>
      <c r="D14" s="58" t="s">
        <v>59</v>
      </c>
      <c r="E14" s="59"/>
      <c r="F14" s="15"/>
      <c r="G14" s="21"/>
      <c r="H14" s="6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96</v>
      </c>
      <c r="C15" s="69"/>
      <c r="D15" s="58" t="s">
        <v>59</v>
      </c>
      <c r="E15" s="59"/>
      <c r="F15" s="15"/>
      <c r="G15" s="21"/>
      <c r="H15" s="6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97</v>
      </c>
      <c r="C16" s="21"/>
      <c r="D16" s="58" t="s">
        <v>59</v>
      </c>
      <c r="E16" s="59"/>
      <c r="F16" s="15"/>
      <c r="G16" s="21"/>
      <c r="H16" s="6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58</v>
      </c>
      <c r="C17" s="72"/>
      <c r="D17" s="73" t="s">
        <v>59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9"/>
      <c r="B18" s="100"/>
      <c r="C18" s="72"/>
      <c r="D18" s="73" t="s">
        <v>59</v>
      </c>
      <c r="E18" s="49"/>
      <c r="F18" s="15"/>
      <c r="G18" s="21"/>
      <c r="H18" s="60" t="str">
        <f t="shared" si="3"/>
        <v/>
      </c>
    </row>
    <row r="19">
      <c r="A19" s="63"/>
      <c r="B19" s="100"/>
      <c r="C19" s="72"/>
      <c r="D19" s="73" t="s">
        <v>59</v>
      </c>
      <c r="E19" s="49"/>
      <c r="F19" s="15"/>
      <c r="G19" s="21"/>
      <c r="H19" s="60" t="str">
        <f t="shared" si="3"/>
        <v/>
      </c>
    </row>
    <row r="20">
      <c r="A20" s="63"/>
      <c r="B20" s="100"/>
      <c r="C20" s="72"/>
      <c r="D20" s="73" t="s">
        <v>59</v>
      </c>
      <c r="E20" s="49"/>
      <c r="F20" s="15"/>
      <c r="G20" s="21"/>
      <c r="H20" s="60" t="str">
        <f t="shared" si="3"/>
        <v/>
      </c>
    </row>
    <row r="21">
      <c r="A21" s="63"/>
      <c r="B21" s="100"/>
      <c r="C21" s="72"/>
      <c r="D21" s="73" t="s">
        <v>59</v>
      </c>
      <c r="E21" s="49"/>
      <c r="F21" s="15"/>
      <c r="G21" s="21"/>
      <c r="H21" s="60" t="str">
        <f t="shared" si="3"/>
        <v/>
      </c>
    </row>
    <row r="22">
      <c r="A22" s="63"/>
      <c r="B22" s="100"/>
      <c r="C22" s="72"/>
      <c r="D22" s="73" t="s">
        <v>59</v>
      </c>
      <c r="E22" s="49"/>
      <c r="F22" s="15"/>
      <c r="G22" s="21"/>
      <c r="H22" s="60" t="str">
        <f t="shared" si="3"/>
        <v/>
      </c>
    </row>
    <row r="23">
      <c r="A23" s="63"/>
      <c r="B23" s="100"/>
      <c r="C23" s="72"/>
      <c r="D23" s="73" t="s">
        <v>59</v>
      </c>
      <c r="E23" s="49"/>
      <c r="F23" s="15"/>
      <c r="G23" s="21"/>
      <c r="H23" s="60" t="str">
        <f t="shared" si="3"/>
        <v/>
      </c>
    </row>
    <row r="24">
      <c r="A24" s="63"/>
      <c r="B24" s="76" t="s">
        <v>98</v>
      </c>
      <c r="C24" s="77"/>
      <c r="D24" s="73" t="s">
        <v>59</v>
      </c>
      <c r="E24" s="49"/>
      <c r="F24" s="15"/>
      <c r="G24" s="21"/>
      <c r="H24" s="6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99</v>
      </c>
      <c r="C25" s="69"/>
      <c r="D25" s="73" t="s">
        <v>59</v>
      </c>
      <c r="E25" s="49"/>
      <c r="F25" s="15"/>
      <c r="G25" s="21"/>
      <c r="H25" s="6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100</v>
      </c>
      <c r="C26" s="21"/>
      <c r="D26" s="73" t="s">
        <v>59</v>
      </c>
      <c r="E26" s="49"/>
      <c r="F26" s="15"/>
      <c r="G26" s="21"/>
      <c r="H26" s="6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/>
      <c r="B27" s="56" t="s">
        <v>58</v>
      </c>
      <c r="C27" s="57"/>
      <c r="D27" s="58" t="s">
        <v>59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95"/>
      <c r="B28" s="96"/>
      <c r="C28" s="57"/>
      <c r="D28" s="58" t="s">
        <v>59</v>
      </c>
      <c r="E28" s="59"/>
      <c r="F28" s="15"/>
      <c r="G28" s="21"/>
      <c r="H28" s="60" t="str">
        <f t="shared" si="5"/>
        <v/>
      </c>
    </row>
    <row r="29">
      <c r="A29" s="63"/>
      <c r="B29" s="96"/>
      <c r="C29" s="57"/>
      <c r="D29" s="58" t="s">
        <v>59</v>
      </c>
      <c r="E29" s="59"/>
      <c r="F29" s="15"/>
      <c r="G29" s="21"/>
      <c r="H29" s="60" t="str">
        <f t="shared" si="5"/>
        <v/>
      </c>
    </row>
    <row r="30">
      <c r="A30" s="63"/>
      <c r="B30" s="96"/>
      <c r="C30" s="57"/>
      <c r="D30" s="58" t="s">
        <v>59</v>
      </c>
      <c r="E30" s="59"/>
      <c r="F30" s="15"/>
      <c r="G30" s="21"/>
      <c r="H30" s="60" t="str">
        <f t="shared" si="5"/>
        <v/>
      </c>
    </row>
    <row r="31">
      <c r="A31" s="63"/>
      <c r="B31" s="96"/>
      <c r="C31" s="57"/>
      <c r="D31" s="58" t="s">
        <v>59</v>
      </c>
      <c r="E31" s="59"/>
      <c r="F31" s="15"/>
      <c r="G31" s="21"/>
      <c r="H31" s="60" t="str">
        <f t="shared" si="5"/>
        <v/>
      </c>
    </row>
    <row r="32">
      <c r="A32" s="63"/>
      <c r="B32" s="96"/>
      <c r="C32" s="57"/>
      <c r="D32" s="58" t="s">
        <v>59</v>
      </c>
      <c r="E32" s="59"/>
      <c r="F32" s="15"/>
      <c r="G32" s="21"/>
      <c r="H32" s="60" t="str">
        <f t="shared" si="5"/>
        <v/>
      </c>
    </row>
    <row r="33">
      <c r="A33" s="63"/>
      <c r="B33" s="96"/>
      <c r="C33" s="57"/>
      <c r="D33" s="58" t="s">
        <v>59</v>
      </c>
      <c r="E33" s="59"/>
      <c r="F33" s="15"/>
      <c r="G33" s="21"/>
      <c r="H33" s="60" t="str">
        <f t="shared" si="5"/>
        <v/>
      </c>
    </row>
    <row r="34">
      <c r="A34" s="63"/>
      <c r="B34" s="64" t="s">
        <v>101</v>
      </c>
      <c r="C34" s="81"/>
      <c r="D34" s="58" t="s">
        <v>59</v>
      </c>
      <c r="E34" s="59"/>
      <c r="F34" s="15"/>
      <c r="G34" s="21"/>
      <c r="H34" s="60" t="str">
        <f t="shared" ref="H34:H36" si="6">IF(D34="Pass", "Pass", IF(D34="Fail", "Fail", ""))
</f>
        <v/>
      </c>
    </row>
    <row r="35">
      <c r="A35" s="63"/>
      <c r="B35" s="68" t="s">
        <v>102</v>
      </c>
      <c r="C35" s="69"/>
      <c r="D35" s="58" t="s">
        <v>59</v>
      </c>
      <c r="E35" s="59"/>
      <c r="F35" s="15"/>
      <c r="G35" s="21"/>
      <c r="H35" s="60" t="str">
        <f t="shared" si="6"/>
        <v/>
      </c>
    </row>
    <row r="36">
      <c r="A36" s="70"/>
      <c r="B36" s="68" t="s">
        <v>103</v>
      </c>
      <c r="C36" s="21"/>
      <c r="D36" s="58" t="s">
        <v>59</v>
      </c>
      <c r="E36" s="59"/>
      <c r="F36" s="15"/>
      <c r="G36" s="21"/>
      <c r="H36" s="60" t="str">
        <f t="shared" si="6"/>
        <v/>
      </c>
    </row>
    <row r="37">
      <c r="A37" s="102" t="s">
        <v>76</v>
      </c>
      <c r="B37" s="15"/>
      <c r="C37" s="21"/>
      <c r="D37" s="54" t="s">
        <v>104</v>
      </c>
      <c r="E37" s="39"/>
      <c r="F37" s="39"/>
      <c r="G37" s="13"/>
      <c r="H37" s="55"/>
    </row>
    <row r="38">
      <c r="A38" s="103" t="s">
        <v>1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105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24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45506.0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108</v>
      </c>
      <c r="B6" s="93"/>
      <c r="C6" s="52" t="s">
        <v>109</v>
      </c>
      <c r="D6" s="53"/>
      <c r="E6" s="84" t="s">
        <v>110</v>
      </c>
      <c r="F6" s="15"/>
      <c r="G6" s="15"/>
      <c r="H6" s="85"/>
    </row>
    <row r="7">
      <c r="A7" s="56" t="s">
        <v>111</v>
      </c>
      <c r="B7" s="56" t="s">
        <v>58</v>
      </c>
      <c r="C7" s="57" t="s">
        <v>112</v>
      </c>
      <c r="D7" s="58" t="s">
        <v>113</v>
      </c>
      <c r="E7" s="110" t="s">
        <v>114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116</v>
      </c>
      <c r="E8" s="110" t="s">
        <v>117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119</v>
      </c>
      <c r="E9" s="110" t="s">
        <v>120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119</v>
      </c>
      <c r="E10" s="110" t="s">
        <v>120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113</v>
      </c>
      <c r="E11" s="110" t="s">
        <v>123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113</v>
      </c>
      <c r="E12" s="110" t="s">
        <v>125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113</v>
      </c>
      <c r="E13" s="110" t="s">
        <v>127</v>
      </c>
      <c r="F13" s="15"/>
      <c r="G13" s="21"/>
      <c r="H13" s="60" t="str">
        <f t="shared" si="1"/>
        <v>Pass</v>
      </c>
    </row>
    <row r="14">
      <c r="A14" s="63"/>
      <c r="B14" s="64" t="s">
        <v>128</v>
      </c>
      <c r="C14" s="65"/>
      <c r="D14" s="58" t="s">
        <v>129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130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131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132</v>
      </c>
      <c r="B17" s="71" t="s">
        <v>58</v>
      </c>
      <c r="C17" s="72" t="s">
        <v>112</v>
      </c>
      <c r="D17" s="73" t="s">
        <v>113</v>
      </c>
      <c r="E17" s="111" t="s">
        <v>133</v>
      </c>
      <c r="F17" s="49"/>
      <c r="G17" s="112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116</v>
      </c>
      <c r="E18" s="113" t="s">
        <v>117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116</v>
      </c>
      <c r="E19" s="113" t="s">
        <v>120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119</v>
      </c>
      <c r="E20" s="113" t="s">
        <v>134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113</v>
      </c>
      <c r="E21" s="113" t="s">
        <v>123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113</v>
      </c>
      <c r="E22" s="113" t="s">
        <v>125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113</v>
      </c>
      <c r="E23" s="113" t="s">
        <v>127</v>
      </c>
      <c r="F23" s="15"/>
      <c r="G23" s="21"/>
      <c r="H23" s="60" t="str">
        <f t="shared" si="3"/>
        <v>Pass</v>
      </c>
    </row>
    <row r="24">
      <c r="A24" s="63"/>
      <c r="B24" s="76" t="s">
        <v>135</v>
      </c>
      <c r="C24" s="77"/>
      <c r="D24" s="73" t="s">
        <v>129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136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137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138</v>
      </c>
      <c r="B27" s="56" t="s">
        <v>58</v>
      </c>
      <c r="C27" s="57" t="s">
        <v>112</v>
      </c>
      <c r="D27" s="58" t="s">
        <v>113</v>
      </c>
      <c r="E27" s="110" t="s">
        <v>114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116</v>
      </c>
      <c r="E28" s="110" t="s">
        <v>117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116</v>
      </c>
      <c r="E29" s="110" t="s">
        <v>120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119</v>
      </c>
      <c r="E30" s="110" t="s">
        <v>134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113</v>
      </c>
      <c r="E31" s="110" t="s">
        <v>123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113</v>
      </c>
      <c r="E32" s="110" t="s">
        <v>125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113</v>
      </c>
      <c r="E33" s="110" t="s">
        <v>127</v>
      </c>
      <c r="F33" s="15"/>
      <c r="G33" s="21"/>
      <c r="H33" s="60" t="str">
        <f t="shared" si="5"/>
        <v>Pass</v>
      </c>
    </row>
    <row r="34">
      <c r="A34" s="63"/>
      <c r="B34" s="64" t="s">
        <v>139</v>
      </c>
      <c r="C34" s="81"/>
      <c r="D34" s="58" t="s">
        <v>129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140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141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142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5">
    <mergeCell ref="A1:H1"/>
    <mergeCell ref="B2:D2"/>
    <mergeCell ref="B3:D3"/>
    <mergeCell ref="A4:D4"/>
    <mergeCell ref="A5:D5"/>
    <mergeCell ref="E6:G6"/>
    <mergeCell ref="A8:A16"/>
    <mergeCell ref="A18:A26"/>
    <mergeCell ref="A28:A36"/>
    <mergeCell ref="E13:G13"/>
    <mergeCell ref="E14:G14"/>
    <mergeCell ref="E15:G15"/>
    <mergeCell ref="E16:G16"/>
    <mergeCell ref="E18:G18"/>
    <mergeCell ref="E23:G23"/>
    <mergeCell ref="E26:G26"/>
    <mergeCell ref="E34:G34"/>
    <mergeCell ref="E35:G35"/>
    <mergeCell ref="A37:C37"/>
    <mergeCell ref="D37:G37"/>
    <mergeCell ref="A38:C38"/>
    <mergeCell ref="D38:H38"/>
    <mergeCell ref="E28:G28"/>
    <mergeCell ref="E29:G29"/>
    <mergeCell ref="E30:G30"/>
    <mergeCell ref="E31:G31"/>
    <mergeCell ref="E32:G32"/>
    <mergeCell ref="E33:G33"/>
    <mergeCell ref="C34:C36"/>
    <mergeCell ref="E36:G36"/>
    <mergeCell ref="E7:G7"/>
    <mergeCell ref="E8:G8"/>
    <mergeCell ref="E9:G9"/>
    <mergeCell ref="E10:G10"/>
    <mergeCell ref="E11:G11"/>
    <mergeCell ref="E12:G12"/>
    <mergeCell ref="E19:G19"/>
    <mergeCell ref="E20:G20"/>
    <mergeCell ref="E21:G21"/>
    <mergeCell ref="E22:G22"/>
    <mergeCell ref="C14:C16"/>
    <mergeCell ref="C24:C26"/>
    <mergeCell ref="E24:G24"/>
    <mergeCell ref="E25:G25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143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29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45566.0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144</v>
      </c>
      <c r="B6" s="93"/>
      <c r="C6" s="52" t="s">
        <v>145</v>
      </c>
      <c r="D6" s="53"/>
      <c r="E6" s="84" t="s">
        <v>146</v>
      </c>
      <c r="F6" s="15"/>
      <c r="G6" s="15"/>
      <c r="H6" s="85"/>
    </row>
    <row r="7">
      <c r="A7" s="56" t="s">
        <v>147</v>
      </c>
      <c r="B7" s="56" t="s">
        <v>58</v>
      </c>
      <c r="C7" s="57" t="s">
        <v>112</v>
      </c>
      <c r="D7" s="58" t="s">
        <v>113</v>
      </c>
      <c r="E7" s="110" t="s">
        <v>148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119</v>
      </c>
      <c r="E8" s="110" t="s">
        <v>149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119</v>
      </c>
      <c r="E9" s="110" t="s">
        <v>150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113</v>
      </c>
      <c r="E10" s="110" t="s">
        <v>151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119</v>
      </c>
      <c r="E11" s="110" t="s">
        <v>152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113</v>
      </c>
      <c r="E12" s="110" t="s">
        <v>153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113</v>
      </c>
      <c r="E13" s="110" t="s">
        <v>117</v>
      </c>
      <c r="F13" s="15"/>
      <c r="G13" s="21"/>
      <c r="H13" s="60" t="str">
        <f t="shared" si="1"/>
        <v>Pass</v>
      </c>
    </row>
    <row r="14">
      <c r="A14" s="63"/>
      <c r="B14" s="64" t="s">
        <v>154</v>
      </c>
      <c r="C14" s="65"/>
      <c r="D14" s="58" t="s">
        <v>129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155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156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157</v>
      </c>
      <c r="B17" s="71" t="s">
        <v>58</v>
      </c>
      <c r="C17" s="72" t="s">
        <v>112</v>
      </c>
      <c r="D17" s="73" t="s">
        <v>119</v>
      </c>
      <c r="E17" s="113" t="s">
        <v>150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116</v>
      </c>
      <c r="E18" s="113" t="s">
        <v>117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119</v>
      </c>
      <c r="E19" s="113" t="s">
        <v>150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113</v>
      </c>
      <c r="E20" s="113" t="s">
        <v>158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119</v>
      </c>
      <c r="E21" s="113" t="s">
        <v>117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113</v>
      </c>
      <c r="E22" s="113" t="s">
        <v>153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113</v>
      </c>
      <c r="E23" s="113" t="s">
        <v>117</v>
      </c>
      <c r="F23" s="15"/>
      <c r="G23" s="21"/>
      <c r="H23" s="60" t="str">
        <f t="shared" si="3"/>
        <v>Pass</v>
      </c>
    </row>
    <row r="24">
      <c r="A24" s="63"/>
      <c r="B24" s="76" t="s">
        <v>159</v>
      </c>
      <c r="C24" s="77"/>
      <c r="D24" s="73" t="s">
        <v>129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160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161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162</v>
      </c>
      <c r="B27" s="56" t="s">
        <v>58</v>
      </c>
      <c r="C27" s="57" t="s">
        <v>112</v>
      </c>
      <c r="D27" s="58" t="s">
        <v>113</v>
      </c>
      <c r="E27" s="110" t="s">
        <v>125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116</v>
      </c>
      <c r="E28" s="110" t="s">
        <v>117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119</v>
      </c>
      <c r="E29" s="110" t="s">
        <v>163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113</v>
      </c>
      <c r="E30" s="110" t="s">
        <v>158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119</v>
      </c>
      <c r="E31" s="110" t="s">
        <v>164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113</v>
      </c>
      <c r="E32" s="110" t="s">
        <v>123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113</v>
      </c>
      <c r="E33" s="110" t="s">
        <v>117</v>
      </c>
      <c r="F33" s="15"/>
      <c r="G33" s="21"/>
      <c r="H33" s="60" t="str">
        <f t="shared" si="5"/>
        <v>Pass</v>
      </c>
    </row>
    <row r="34">
      <c r="A34" s="63"/>
      <c r="B34" s="64" t="s">
        <v>165</v>
      </c>
      <c r="C34" s="81"/>
      <c r="D34" s="58" t="s">
        <v>129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166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167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168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169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32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45601.0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170</v>
      </c>
      <c r="B6" s="93"/>
      <c r="C6" s="52" t="s">
        <v>171</v>
      </c>
      <c r="D6" s="53"/>
      <c r="E6" s="84" t="s">
        <v>172</v>
      </c>
      <c r="F6" s="15"/>
      <c r="G6" s="15"/>
      <c r="H6" s="85"/>
    </row>
    <row r="7">
      <c r="A7" s="56" t="s">
        <v>173</v>
      </c>
      <c r="B7" s="56" t="s">
        <v>58</v>
      </c>
      <c r="C7" s="57" t="s">
        <v>112</v>
      </c>
      <c r="D7" s="58" t="s">
        <v>113</v>
      </c>
      <c r="E7" s="110" t="s">
        <v>174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119</v>
      </c>
      <c r="E8" s="110" t="s">
        <v>117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119</v>
      </c>
      <c r="E9" s="110" t="s">
        <v>175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116</v>
      </c>
      <c r="E10" s="110" t="s">
        <v>153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113</v>
      </c>
      <c r="E11" s="110" t="s">
        <v>123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113</v>
      </c>
      <c r="E12" s="110" t="s">
        <v>153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119</v>
      </c>
      <c r="E13" s="110" t="s">
        <v>117</v>
      </c>
      <c r="F13" s="15"/>
      <c r="G13" s="21"/>
      <c r="H13" s="60" t="str">
        <f t="shared" si="1"/>
        <v>Pass</v>
      </c>
    </row>
    <row r="14">
      <c r="A14" s="63"/>
      <c r="B14" s="64" t="s">
        <v>176</v>
      </c>
      <c r="C14" s="65"/>
      <c r="D14" s="58" t="s">
        <v>129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177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178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179</v>
      </c>
      <c r="B17" s="71" t="s">
        <v>58</v>
      </c>
      <c r="C17" s="72" t="s">
        <v>112</v>
      </c>
      <c r="D17" s="73" t="s">
        <v>116</v>
      </c>
      <c r="E17" s="113" t="s">
        <v>180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119</v>
      </c>
      <c r="E18" s="113" t="s">
        <v>117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119</v>
      </c>
      <c r="E19" s="113" t="s">
        <v>175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119</v>
      </c>
      <c r="E20" s="113" t="s">
        <v>125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119</v>
      </c>
      <c r="E21" s="113" t="s">
        <v>123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113</v>
      </c>
      <c r="E22" s="113" t="s">
        <v>153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119</v>
      </c>
      <c r="E23" s="113" t="s">
        <v>117</v>
      </c>
      <c r="F23" s="15"/>
      <c r="G23" s="21"/>
      <c r="H23" s="60" t="str">
        <f t="shared" si="3"/>
        <v>Pass</v>
      </c>
    </row>
    <row r="24">
      <c r="A24" s="63"/>
      <c r="B24" s="76" t="s">
        <v>181</v>
      </c>
      <c r="C24" s="77"/>
      <c r="D24" s="73" t="s">
        <v>129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182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183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184</v>
      </c>
      <c r="B27" s="56" t="s">
        <v>58</v>
      </c>
      <c r="C27" s="57" t="s">
        <v>112</v>
      </c>
      <c r="D27" s="58" t="s">
        <v>113</v>
      </c>
      <c r="E27" s="110" t="s">
        <v>175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119</v>
      </c>
      <c r="E28" s="110" t="s">
        <v>117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119</v>
      </c>
      <c r="E29" s="110" t="s">
        <v>175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119</v>
      </c>
      <c r="E30" s="110" t="s">
        <v>125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119</v>
      </c>
      <c r="E31" s="110" t="s">
        <v>117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119</v>
      </c>
      <c r="E32" s="110" t="s">
        <v>153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119</v>
      </c>
      <c r="E33" s="110" t="s">
        <v>117</v>
      </c>
      <c r="F33" s="15"/>
      <c r="G33" s="21"/>
      <c r="H33" s="60" t="str">
        <f t="shared" si="5"/>
        <v>Pass</v>
      </c>
    </row>
    <row r="34">
      <c r="A34" s="63"/>
      <c r="B34" s="64" t="s">
        <v>185</v>
      </c>
      <c r="C34" s="81"/>
      <c r="D34" s="58" t="s">
        <v>129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186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187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188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189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35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45667.0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190</v>
      </c>
      <c r="B6" s="93"/>
      <c r="C6" s="52" t="s">
        <v>191</v>
      </c>
      <c r="D6" s="53"/>
      <c r="E6" s="84" t="s">
        <v>192</v>
      </c>
      <c r="F6" s="15"/>
      <c r="G6" s="15"/>
      <c r="H6" s="85"/>
    </row>
    <row r="7">
      <c r="A7" s="56" t="s">
        <v>193</v>
      </c>
      <c r="B7" s="56" t="s">
        <v>58</v>
      </c>
      <c r="C7" s="57" t="s">
        <v>112</v>
      </c>
      <c r="D7" s="58" t="s">
        <v>119</v>
      </c>
      <c r="E7" s="110" t="s">
        <v>120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119</v>
      </c>
      <c r="E8" s="110" t="s">
        <v>117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116</v>
      </c>
      <c r="E9" s="110" t="s">
        <v>194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116</v>
      </c>
      <c r="E10" s="110" t="s">
        <v>175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119</v>
      </c>
      <c r="E11" s="110" t="s">
        <v>117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113</v>
      </c>
      <c r="E12" s="110" t="s">
        <v>175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119</v>
      </c>
      <c r="E13" s="110" t="s">
        <v>153</v>
      </c>
      <c r="F13" s="15"/>
      <c r="G13" s="21"/>
      <c r="H13" s="60" t="str">
        <f t="shared" si="1"/>
        <v>Pass</v>
      </c>
    </row>
    <row r="14">
      <c r="A14" s="63"/>
      <c r="B14" s="64" t="s">
        <v>195</v>
      </c>
      <c r="C14" s="65"/>
      <c r="D14" s="58" t="s">
        <v>129</v>
      </c>
      <c r="E14" s="110" t="s">
        <v>196</v>
      </c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197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198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199</v>
      </c>
      <c r="B17" s="71" t="s">
        <v>58</v>
      </c>
      <c r="C17" s="72" t="s">
        <v>112</v>
      </c>
      <c r="D17" s="73" t="s">
        <v>119</v>
      </c>
      <c r="E17" s="113" t="s">
        <v>120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119</v>
      </c>
      <c r="E18" s="113" t="s">
        <v>117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116</v>
      </c>
      <c r="E19" s="113" t="s">
        <v>175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116</v>
      </c>
      <c r="E20" s="113" t="s">
        <v>175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119</v>
      </c>
      <c r="E21" s="113" t="s">
        <v>117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113</v>
      </c>
      <c r="E22" s="113" t="s">
        <v>175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119</v>
      </c>
      <c r="E23" s="113" t="s">
        <v>153</v>
      </c>
      <c r="F23" s="15"/>
      <c r="G23" s="21"/>
      <c r="H23" s="60" t="str">
        <f t="shared" si="3"/>
        <v>Pass</v>
      </c>
    </row>
    <row r="24">
      <c r="A24" s="63"/>
      <c r="B24" s="76" t="s">
        <v>200</v>
      </c>
      <c r="C24" s="77"/>
      <c r="D24" s="73" t="s">
        <v>129</v>
      </c>
      <c r="E24" s="113" t="s">
        <v>196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201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202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203</v>
      </c>
      <c r="B27" s="56" t="s">
        <v>58</v>
      </c>
      <c r="C27" s="57" t="s">
        <v>112</v>
      </c>
      <c r="D27" s="58" t="s">
        <v>119</v>
      </c>
      <c r="E27" s="110" t="s">
        <v>120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119</v>
      </c>
      <c r="E28" s="110" t="s">
        <v>117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116</v>
      </c>
      <c r="E29" s="110" t="s">
        <v>175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116</v>
      </c>
      <c r="E30" s="110" t="s">
        <v>175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119</v>
      </c>
      <c r="E31" s="110" t="s">
        <v>117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113</v>
      </c>
      <c r="E32" s="110" t="s">
        <v>175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119</v>
      </c>
      <c r="E33" s="110" t="s">
        <v>153</v>
      </c>
      <c r="F33" s="15"/>
      <c r="G33" s="21"/>
      <c r="H33" s="60" t="str">
        <f t="shared" si="5"/>
        <v>Pass</v>
      </c>
    </row>
    <row r="34">
      <c r="A34" s="63"/>
      <c r="B34" s="64" t="s">
        <v>204</v>
      </c>
      <c r="C34" s="81"/>
      <c r="D34" s="58" t="s">
        <v>129</v>
      </c>
      <c r="E34" s="110" t="s">
        <v>196</v>
      </c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205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206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207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208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38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45708.0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209</v>
      </c>
      <c r="B6" s="93"/>
      <c r="C6" s="52" t="s">
        <v>210</v>
      </c>
      <c r="D6" s="53"/>
      <c r="E6" s="84" t="s">
        <v>211</v>
      </c>
      <c r="F6" s="15"/>
      <c r="G6" s="15"/>
      <c r="H6" s="85"/>
    </row>
    <row r="7">
      <c r="A7" s="56" t="s">
        <v>212</v>
      </c>
      <c r="B7" s="56" t="s">
        <v>58</v>
      </c>
      <c r="C7" s="57" t="s">
        <v>112</v>
      </c>
      <c r="D7" s="58" t="s">
        <v>116</v>
      </c>
      <c r="E7" s="110" t="s">
        <v>213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116</v>
      </c>
      <c r="E8" s="110" t="s">
        <v>213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116</v>
      </c>
      <c r="E9" s="110" t="s">
        <v>175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119</v>
      </c>
      <c r="E10" s="110" t="s">
        <v>175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119</v>
      </c>
      <c r="E11" s="110" t="s">
        <v>123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119</v>
      </c>
      <c r="E12" s="110" t="s">
        <v>153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119</v>
      </c>
      <c r="E13" s="110" t="s">
        <v>153</v>
      </c>
      <c r="F13" s="15"/>
      <c r="G13" s="21"/>
      <c r="H13" s="60" t="str">
        <f t="shared" si="1"/>
        <v>Pass</v>
      </c>
    </row>
    <row r="14">
      <c r="A14" s="63"/>
      <c r="B14" s="64" t="s">
        <v>214</v>
      </c>
      <c r="C14" s="65"/>
      <c r="D14" s="58" t="s">
        <v>129</v>
      </c>
      <c r="E14" s="110" t="s">
        <v>196</v>
      </c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215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216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217</v>
      </c>
      <c r="B17" s="71" t="s">
        <v>58</v>
      </c>
      <c r="C17" s="72" t="s">
        <v>112</v>
      </c>
      <c r="D17" s="73" t="s">
        <v>116</v>
      </c>
      <c r="E17" s="114" t="s">
        <v>213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116</v>
      </c>
      <c r="E18" s="114" t="s">
        <v>213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116</v>
      </c>
      <c r="E19" s="114" t="s">
        <v>175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119</v>
      </c>
      <c r="E20" s="114" t="s">
        <v>175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119</v>
      </c>
      <c r="E21" s="114" t="s">
        <v>123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119</v>
      </c>
      <c r="E22" s="114" t="s">
        <v>153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119</v>
      </c>
      <c r="E23" s="114" t="s">
        <v>153</v>
      </c>
      <c r="F23" s="15"/>
      <c r="G23" s="21"/>
      <c r="H23" s="60" t="str">
        <f t="shared" si="3"/>
        <v>Pass</v>
      </c>
    </row>
    <row r="24">
      <c r="A24" s="63"/>
      <c r="B24" s="76" t="s">
        <v>218</v>
      </c>
      <c r="C24" s="77"/>
      <c r="D24" s="73" t="s">
        <v>129</v>
      </c>
      <c r="E24" s="114" t="s">
        <v>196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219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220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221</v>
      </c>
      <c r="B27" s="56" t="s">
        <v>58</v>
      </c>
      <c r="C27" s="57" t="s">
        <v>112</v>
      </c>
      <c r="D27" s="58" t="s">
        <v>116</v>
      </c>
      <c r="E27" s="110" t="s">
        <v>213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116</v>
      </c>
      <c r="E28" s="110" t="s">
        <v>213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116</v>
      </c>
      <c r="E29" s="110" t="s">
        <v>175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119</v>
      </c>
      <c r="E30" s="110" t="s">
        <v>175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119</v>
      </c>
      <c r="E31" s="110" t="s">
        <v>123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119</v>
      </c>
      <c r="E32" s="110" t="s">
        <v>153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119</v>
      </c>
      <c r="E33" s="110" t="s">
        <v>153</v>
      </c>
      <c r="F33" s="15"/>
      <c r="G33" s="21"/>
      <c r="H33" s="60" t="str">
        <f t="shared" si="5"/>
        <v>Pass</v>
      </c>
    </row>
    <row r="34">
      <c r="A34" s="63"/>
      <c r="B34" s="64" t="s">
        <v>222</v>
      </c>
      <c r="C34" s="81"/>
      <c r="D34" s="58" t="s">
        <v>129</v>
      </c>
      <c r="E34" s="110" t="s">
        <v>196</v>
      </c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223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224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225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44</v>
      </c>
      <c r="B1" s="39"/>
      <c r="C1" s="39"/>
      <c r="D1" s="39"/>
      <c r="E1" s="39"/>
      <c r="F1" s="39"/>
      <c r="G1" s="39"/>
      <c r="H1" s="13"/>
    </row>
    <row r="2">
      <c r="A2" s="88" t="s">
        <v>226</v>
      </c>
      <c r="B2" s="91" t="s">
        <v>106</v>
      </c>
      <c r="C2" s="15"/>
      <c r="D2" s="21"/>
      <c r="E2" s="42" t="s">
        <v>46</v>
      </c>
      <c r="F2" s="100" t="s">
        <v>21</v>
      </c>
      <c r="G2" s="42" t="s">
        <v>47</v>
      </c>
      <c r="H2" s="105" t="s">
        <v>22</v>
      </c>
    </row>
    <row r="3">
      <c r="A3" s="90" t="s">
        <v>48</v>
      </c>
      <c r="B3" s="91" t="s">
        <v>26</v>
      </c>
      <c r="C3" s="15"/>
      <c r="D3" s="21"/>
      <c r="E3" s="47" t="s">
        <v>49</v>
      </c>
      <c r="F3" s="106" t="s">
        <v>107</v>
      </c>
      <c r="G3" s="42" t="s">
        <v>50</v>
      </c>
      <c r="H3" s="105" t="s">
        <v>41</v>
      </c>
    </row>
    <row r="4">
      <c r="A4" s="92"/>
      <c r="B4" s="15"/>
      <c r="C4" s="15"/>
      <c r="D4" s="21"/>
      <c r="E4" s="42" t="s">
        <v>51</v>
      </c>
      <c r="F4" s="100" t="s">
        <v>22</v>
      </c>
      <c r="G4" s="42" t="s">
        <v>52</v>
      </c>
      <c r="H4" s="107">
        <v>45957.0</v>
      </c>
    </row>
    <row r="5">
      <c r="A5" s="92"/>
      <c r="B5" s="15"/>
      <c r="C5" s="15"/>
      <c r="D5" s="21"/>
      <c r="E5" s="42" t="s">
        <v>53</v>
      </c>
      <c r="F5" s="108">
        <v>47165.0</v>
      </c>
      <c r="G5" s="51" t="s">
        <v>79</v>
      </c>
      <c r="H5" s="109">
        <v>3.0</v>
      </c>
    </row>
    <row r="6">
      <c r="A6" s="93" t="s">
        <v>227</v>
      </c>
      <c r="B6" s="93"/>
      <c r="C6" s="52" t="s">
        <v>228</v>
      </c>
      <c r="D6" s="53"/>
      <c r="E6" s="84" t="s">
        <v>229</v>
      </c>
      <c r="F6" s="15"/>
      <c r="G6" s="15"/>
      <c r="H6" s="85"/>
    </row>
    <row r="7">
      <c r="A7" s="56" t="s">
        <v>230</v>
      </c>
      <c r="B7" s="56" t="s">
        <v>58</v>
      </c>
      <c r="C7" s="57" t="s">
        <v>112</v>
      </c>
      <c r="D7" s="58" t="s">
        <v>113</v>
      </c>
      <c r="E7" s="110" t="s">
        <v>127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115</v>
      </c>
      <c r="D8" s="58" t="s">
        <v>116</v>
      </c>
      <c r="E8" s="110" t="s">
        <v>231</v>
      </c>
      <c r="F8" s="15"/>
      <c r="G8" s="21"/>
      <c r="H8" s="60" t="str">
        <f t="shared" si="1"/>
        <v>Pass</v>
      </c>
    </row>
    <row r="9">
      <c r="A9" s="63"/>
      <c r="B9" s="96"/>
      <c r="C9" s="57" t="s">
        <v>118</v>
      </c>
      <c r="D9" s="58" t="s">
        <v>113</v>
      </c>
      <c r="E9" s="110" t="s">
        <v>127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121</v>
      </c>
      <c r="D10" s="58" t="s">
        <v>113</v>
      </c>
      <c r="E10" s="110" t="s">
        <v>127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122</v>
      </c>
      <c r="D11" s="58" t="s">
        <v>113</v>
      </c>
      <c r="E11" s="110" t="s">
        <v>123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124</v>
      </c>
      <c r="D12" s="58" t="s">
        <v>113</v>
      </c>
      <c r="E12" s="110" t="s">
        <v>123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126</v>
      </c>
      <c r="D13" s="58" t="s">
        <v>113</v>
      </c>
      <c r="E13" s="110" t="s">
        <v>127</v>
      </c>
      <c r="F13" s="15"/>
      <c r="G13" s="21"/>
      <c r="H13" s="60" t="str">
        <f t="shared" si="1"/>
        <v>Pass</v>
      </c>
    </row>
    <row r="14">
      <c r="A14" s="63"/>
      <c r="B14" s="64" t="s">
        <v>232</v>
      </c>
      <c r="C14" s="65"/>
      <c r="D14" s="58" t="s">
        <v>129</v>
      </c>
      <c r="E14" s="110" t="s">
        <v>233</v>
      </c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234</v>
      </c>
      <c r="C15" s="69"/>
      <c r="D15" s="58" t="s">
        <v>129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235</v>
      </c>
      <c r="C16" s="21"/>
      <c r="D16" s="58" t="s">
        <v>129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236</v>
      </c>
      <c r="B17" s="71" t="s">
        <v>58</v>
      </c>
      <c r="C17" s="72" t="s">
        <v>112</v>
      </c>
      <c r="D17" s="73" t="s">
        <v>113</v>
      </c>
      <c r="E17" s="113" t="s">
        <v>127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115</v>
      </c>
      <c r="D18" s="73" t="s">
        <v>119</v>
      </c>
      <c r="E18" s="113" t="s">
        <v>127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118</v>
      </c>
      <c r="D19" s="73" t="s">
        <v>113</v>
      </c>
      <c r="E19" s="113" t="s">
        <v>237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121</v>
      </c>
      <c r="D20" s="73" t="s">
        <v>113</v>
      </c>
      <c r="E20" s="113" t="s">
        <v>127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122</v>
      </c>
      <c r="D21" s="73" t="s">
        <v>113</v>
      </c>
      <c r="E21" s="113" t="s">
        <v>123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124</v>
      </c>
      <c r="D22" s="73" t="s">
        <v>113</v>
      </c>
      <c r="E22" s="113"/>
      <c r="F22" s="15"/>
      <c r="G22" s="21"/>
      <c r="H22" s="60" t="str">
        <f t="shared" si="3"/>
        <v>Pass</v>
      </c>
    </row>
    <row r="23">
      <c r="A23" s="63"/>
      <c r="B23" s="100"/>
      <c r="C23" s="72" t="s">
        <v>126</v>
      </c>
      <c r="D23" s="73" t="s">
        <v>113</v>
      </c>
      <c r="E23" s="113" t="s">
        <v>127</v>
      </c>
      <c r="F23" s="15"/>
      <c r="G23" s="21"/>
      <c r="H23" s="60" t="str">
        <f t="shared" si="3"/>
        <v>Pass</v>
      </c>
    </row>
    <row r="24">
      <c r="A24" s="63"/>
      <c r="B24" s="76" t="s">
        <v>238</v>
      </c>
      <c r="C24" s="77"/>
      <c r="D24" s="73" t="s">
        <v>129</v>
      </c>
      <c r="E24" s="113" t="s">
        <v>233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239</v>
      </c>
      <c r="C25" s="69"/>
      <c r="D25" s="73" t="s">
        <v>129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240</v>
      </c>
      <c r="C26" s="21"/>
      <c r="D26" s="73" t="s">
        <v>129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241</v>
      </c>
      <c r="B27" s="56" t="s">
        <v>58</v>
      </c>
      <c r="C27" s="57" t="s">
        <v>112</v>
      </c>
      <c r="D27" s="58" t="s">
        <v>113</v>
      </c>
      <c r="E27" s="110" t="s">
        <v>127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115</v>
      </c>
      <c r="D28" s="58" t="s">
        <v>119</v>
      </c>
      <c r="E28" s="110" t="s">
        <v>127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118</v>
      </c>
      <c r="D29" s="58" t="s">
        <v>113</v>
      </c>
      <c r="E29" s="110" t="s">
        <v>237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121</v>
      </c>
      <c r="D30" s="58" t="s">
        <v>113</v>
      </c>
      <c r="E30" s="110" t="s">
        <v>237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122</v>
      </c>
      <c r="D31" s="58" t="s">
        <v>113</v>
      </c>
      <c r="E31" s="110" t="s">
        <v>123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124</v>
      </c>
      <c r="D32" s="58" t="s">
        <v>113</v>
      </c>
      <c r="E32" s="110"/>
      <c r="F32" s="15"/>
      <c r="G32" s="21"/>
      <c r="H32" s="60" t="str">
        <f t="shared" si="5"/>
        <v>Pass</v>
      </c>
    </row>
    <row r="33">
      <c r="A33" s="63"/>
      <c r="B33" s="96"/>
      <c r="C33" s="57" t="s">
        <v>126</v>
      </c>
      <c r="D33" s="58" t="s">
        <v>113</v>
      </c>
      <c r="E33" s="110" t="s">
        <v>127</v>
      </c>
      <c r="F33" s="15"/>
      <c r="G33" s="21"/>
      <c r="H33" s="60" t="str">
        <f t="shared" si="5"/>
        <v>Pass</v>
      </c>
    </row>
    <row r="34">
      <c r="A34" s="63"/>
      <c r="B34" s="64" t="s">
        <v>242</v>
      </c>
      <c r="C34" s="81"/>
      <c r="D34" s="58" t="s">
        <v>129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243</v>
      </c>
      <c r="C35" s="69"/>
      <c r="D35" s="58" t="s">
        <v>129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244</v>
      </c>
      <c r="C36" s="21"/>
      <c r="D36" s="58" t="s">
        <v>129</v>
      </c>
      <c r="E36" s="59"/>
      <c r="F36" s="15"/>
      <c r="G36" s="21"/>
      <c r="H36" s="60" t="str">
        <f t="shared" si="6"/>
        <v>Pass</v>
      </c>
    </row>
    <row r="37">
      <c r="A37" s="102" t="s">
        <v>76</v>
      </c>
      <c r="B37" s="15"/>
      <c r="C37" s="21"/>
      <c r="D37" s="54" t="s">
        <v>245</v>
      </c>
      <c r="E37" s="39"/>
      <c r="F37" s="39"/>
      <c r="G37" s="13"/>
      <c r="H37" s="55"/>
    </row>
    <row r="38">
      <c r="A38" s="103" t="s">
        <v>129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