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5"/>
    <sheet state="visible" name="LotSummary" sheetId="2" r:id="rId6"/>
    <sheet state="hidden" name="Lot Acceptance Sheet - 5" sheetId="3" r:id="rId7"/>
    <sheet state="hidden" name="Lot Acceptance Sheet - 2" sheetId="4" r:id="rId8"/>
    <sheet state="hidden" name="Lot Acceptance Sheet - 3" sheetId="5" r:id="rId9"/>
    <sheet state="visible" name="W-0867 - Heavier NYCO Stretch (" sheetId="6" r:id="rId10"/>
    <sheet state="visible" name="Sheet5" sheetId="7" r:id="rId11"/>
    <sheet state="visible" name="VTX - MC -  2500941  2501183" sheetId="8" r:id="rId12"/>
    <sheet state="visible" name="500D Cordura (DWR + Coating Fin" sheetId="9" r:id="rId13"/>
    <sheet state="visible" name="VTX - MC -  2501816" sheetId="10" r:id="rId14"/>
    <sheet state="visible" name="VTX - MC -  2502119" sheetId="11" r:id="rId15"/>
    <sheet state="visible" name="Sheet6" sheetId="12" r:id="rId16"/>
    <sheet state="visible" name="VTX - MC -  2502433" sheetId="13" r:id="rId17"/>
    <sheet state="visible" name="W-1035 - MC - MT-25006141 25026" sheetId="14" r:id="rId18"/>
    <sheet state="visible" name="Sheet7" sheetId="15" r:id="rId19"/>
    <sheet state="visible" name="Sheet8" sheetId="16" r:id="rId20"/>
    <sheet state="visible" name="Sheet9" sheetId="17" r:id="rId21"/>
    <sheet state="visible" name="W-1035 - MC - MT-25006141 25027" sheetId="18" r:id="rId22"/>
    <sheet state="visible" name="500D Cordura(r) ITMP(r) DWR + F" sheetId="19" r:id="rId23"/>
    <sheet state="visible" name="Sheet10" sheetId="20" r:id="rId24"/>
    <sheet state="visible" name="W-1035 - MC - MT-25006141 26019" sheetId="21" r:id="rId25"/>
    <sheet state="visible" name="VTX - MC -  2602058" sheetId="22" r:id="rId26"/>
  </sheets>
  <definedNames/>
  <calcPr/>
</workbook>
</file>

<file path=xl/sharedStrings.xml><?xml version="1.0" encoding="utf-8"?>
<sst xmlns="http://schemas.openxmlformats.org/spreadsheetml/2006/main" count="2521" uniqueCount="534">
  <si>
    <t>SAPPHIRE
ALTERNATE LOT SUMMARY</t>
  </si>
  <si>
    <t>Pending</t>
  </si>
  <si>
    <t>[Do Not Edit]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</si>
  <si>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
For each Lot submission, complete columns B/C, and then H-M, and O, and then hit the "submit" button. You will be notified when your Lot submission is either approved and/or rejected.
</t>
    </r>
  </si>
  <si>
    <t>Status</t>
  </si>
  <si>
    <t>Fabric Style and Variant</t>
  </si>
  <si>
    <t>Shade Standard</t>
  </si>
  <si>
    <t>Shade Standard Number</t>
  </si>
  <si>
    <t>Spectral Reflectance Requirement</t>
  </si>
  <si>
    <t>Original First Article Lot # / Identifier</t>
  </si>
  <si>
    <t>Lot # / Identifier</t>
  </si>
  <si>
    <t>Number of Yards Printed</t>
  </si>
  <si>
    <t>Number of 
Samples 
Submitted</t>
  </si>
  <si>
    <r>
      <rPr>
        <rFont val="Arial"/>
        <b/>
        <color rgb="FF000000"/>
        <u/>
      </rPr>
      <t xml:space="preserve">Date of Printing
</t>
    </r>
    <r>
      <rPr>
        <rFont val="Arial"/>
        <b/>
        <color rgb="FF000000"/>
        <sz val="8.0"/>
        <u/>
      </rPr>
      <t>mm/dd/yy</t>
    </r>
  </si>
  <si>
    <r>
      <rPr>
        <rFont val="Arial"/>
        <b/>
        <color theme="1"/>
        <u/>
      </rPr>
      <t xml:space="preserve">Date Shipped
</t>
    </r>
    <r>
      <rPr>
        <rFont val="Arial"/>
        <b/>
        <color theme="1"/>
        <sz val="8.0"/>
        <u/>
      </rPr>
      <t>mm/dd/yy</t>
    </r>
  </si>
  <si>
    <t>Tracking</t>
  </si>
  <si>
    <t>Individual 
Sample No's.</t>
  </si>
  <si>
    <r>
      <rPr>
        <rFont val="Arial"/>
        <b/>
        <color theme="1"/>
        <u/>
      </rPr>
      <t xml:space="preserve">Name of 
Submitter
</t>
    </r>
    <r>
      <rPr>
        <rFont val="Arial"/>
        <b/>
        <color theme="1"/>
        <sz val="7.0"/>
        <u/>
      </rPr>
      <t>Last,First</t>
    </r>
  </si>
  <si>
    <t>Submit</t>
  </si>
  <si>
    <t>Sheet
 Name 
Generated</t>
  </si>
  <si>
    <t>Approved</t>
  </si>
  <si>
    <t xml:space="preserve">W-0867 - Heavier NYCO Stretch (6.5Oz Rip Stop) - MC - </t>
  </si>
  <si>
    <t>Hussain, Bilal</t>
  </si>
  <si>
    <t>Submitted</t>
  </si>
  <si>
    <t>W-0867 - Heavier NYCO Stretch (6.5Oz Rip Stop) - MC -  2403477</t>
  </si>
  <si>
    <t>W-0867 - Heavier NYCO Stretch (6.5Oz Rip Stop) - MC -  2403478</t>
  </si>
  <si>
    <t xml:space="preserve">VTX - MC - </t>
  </si>
  <si>
    <t>2500941 / 2501183</t>
  </si>
  <si>
    <t>VTX - MC -  2500941 / 2501183</t>
  </si>
  <si>
    <t xml:space="preserve">500D Cordura (DWR + Coating Finish) - MC - </t>
  </si>
  <si>
    <t>500D Cordura (DWR + Coating Finish) - MC -  2501393</t>
  </si>
  <si>
    <t>VTX - MC -  2501816</t>
  </si>
  <si>
    <t>VTX - MC -  2502119</t>
  </si>
  <si>
    <t>W-0867 - Heavier NYCO Stretch (6.5Oz Rip Stop) - MC -  2502312</t>
  </si>
  <si>
    <t>5663660660
1533063066</t>
  </si>
  <si>
    <t>VTX - MC -  2502433</t>
  </si>
  <si>
    <t>W-1035 - MC - MT-25006141</t>
  </si>
  <si>
    <t>Alpha</t>
  </si>
  <si>
    <t>Beta</t>
  </si>
  <si>
    <t>MT-25006141</t>
  </si>
  <si>
    <t>W-1035 - MC - MT-25006141 2502695</t>
  </si>
  <si>
    <t>W-0867 - Heavier NYCO Stretch (6.5Oz Rip Stop) - MC -  2502313</t>
  </si>
  <si>
    <t>W-0867 - Heavier NYCO Stretch (6.5Oz Rip Stop) - MC -  2502432</t>
  </si>
  <si>
    <t>W-0867 - Heavier NYCO Stretch (6.5Oz Rip Stop) - MC -  2502694</t>
  </si>
  <si>
    <t>W-1035 - MC - MT-25006141 2502752</t>
  </si>
  <si>
    <t>500D Cordura(r) ITMP(r) DWR + FR - ITMP - MT-25006137</t>
  </si>
  <si>
    <t>MT-25006137</t>
  </si>
  <si>
    <t>500D Cordura(r) ITMP(r) DWR + FR - ITMP - MT-25006137 2600854</t>
  </si>
  <si>
    <t>W-0867 - Heavier NYCO Stretch (6.5Oz Rip Stop) - MC -  2600901</t>
  </si>
  <si>
    <t>W-1035 - MC - MT-25006141 2601960</t>
  </si>
  <si>
    <t>VTX - MC -  2602058</t>
  </si>
  <si>
    <t>LOT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</si>
  <si>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</si>
  <si>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</si>
  <si>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</si>
  <si>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</si>
  <si>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</si>
  <si>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</si>
  <si>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</si>
  <si>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</si>
  <si>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</si>
  <si>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t>Number of 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</si>
  <si>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</si>
  <si>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</si>
  <si>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</si>
  <si>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 xml:space="preserve">SHADE MATCHING: </t>
  </si>
  <si>
    <t>Select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</si>
  <si>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</si>
  <si>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</si>
  <si>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</si>
  <si>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SHADE MATCHING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</si>
  <si>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</si>
  <si>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</si>
  <si>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</si>
  <si>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</si>
  <si>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</si>
  <si>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</si>
  <si>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</si>
  <si>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</si>
  <si>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</si>
  <si>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</si>
  <si>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</si>
  <si>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</si>
  <si>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LOT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</si>
  <si>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</si>
  <si>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</si>
  <si>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Number of Samples: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</si>
  <si>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</si>
  <si>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</si>
  <si>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</si>
  <si>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SHADE MATCHING: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</si>
  <si>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</si>
  <si>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</si>
  <si>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</si>
  <si>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</si>
  <si>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</si>
  <si>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</si>
  <si>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</si>
  <si>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</si>
  <si>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</si>
  <si>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</si>
  <si>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</si>
  <si>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</si>
  <si>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</si>
  <si>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</si>
  <si>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</si>
  <si>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</si>
  <si>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</si>
  <si>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</si>
  <si>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</si>
  <si>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</si>
  <si>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</si>
  <si>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</si>
  <si>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Sapphire</t>
  </si>
  <si>
    <t>MultiCam®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</si>
  <si>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</si>
  <si>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</si>
  <si>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</si>
  <si>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2403477 - 1</t>
  </si>
  <si>
    <t>Cream 524</t>
  </si>
  <si>
    <t>3-4 - Noticeable/Slight</t>
  </si>
  <si>
    <t>Light and blue</t>
  </si>
  <si>
    <t>Tan 525</t>
  </si>
  <si>
    <t>4-5 - Slight/Equal</t>
  </si>
  <si>
    <t>Pale Green 526</t>
  </si>
  <si>
    <t>Olive 527</t>
  </si>
  <si>
    <t>4 - Slight</t>
  </si>
  <si>
    <t>Slightly dark</t>
  </si>
  <si>
    <t>Dark Green 528</t>
  </si>
  <si>
    <t>Brown 529</t>
  </si>
  <si>
    <t>Dark Brown 530</t>
  </si>
  <si>
    <r>
      <rPr>
        <rFont val="Calibri"/>
        <color theme="1"/>
        <sz val="11.0"/>
      </rPr>
      <t>PATTERN EXECUTION:</t>
    </r>
  </si>
  <si>
    <t>Pass</t>
  </si>
  <si>
    <t>Gradients extend slightly too far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</si>
  <si>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</si>
  <si>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</si>
  <si>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2403477 - 2</t>
  </si>
  <si>
    <t>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</si>
  <si>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</si>
  <si>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</si>
  <si>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</si>
  <si>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2403477 - 3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</si>
  <si>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</si>
  <si>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</si>
  <si>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</si>
  <si>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2403477 - 4</t>
  </si>
  <si>
    <t>Sightly red</t>
  </si>
  <si>
    <r>
      <rPr>
        <rFont val="Calibri"/>
        <color theme="1"/>
        <sz val="11.0"/>
      </rPr>
      <t>PATTERN EXECUTION:</t>
    </r>
  </si>
  <si>
    <r>
      <rPr>
        <rFont val="Arial"/>
        <color rgb="FF000000"/>
      </rPr>
      <t>Gradients extend slightly too far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</si>
  <si>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</si>
  <si>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</si>
  <si>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2403477 - 5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</si>
  <si>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</si>
  <si>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</si>
  <si>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</si>
  <si>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</si>
  <si>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</si>
  <si>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</si>
  <si>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</si>
  <si>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</si>
  <si>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2403478 - 1</t>
  </si>
  <si>
    <t>3 - Noticeable</t>
  </si>
  <si>
    <t>Light and yellow</t>
  </si>
  <si>
    <t>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</si>
  <si>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</si>
  <si>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</si>
  <si>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</si>
  <si>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2403478 - 2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</si>
  <si>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</si>
  <si>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</si>
  <si>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</si>
  <si>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2403478 - 3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</si>
  <si>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</si>
  <si>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</si>
  <si>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</si>
  <si>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</si>
  <si>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Please note that the Cream is a BORDERLINE Pass. Please correct (along witht the Dark Brown) in order to avoid future failures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</si>
  <si>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</si>
  <si>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</si>
  <si>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</si>
  <si>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</si>
  <si>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2500941 / 2501183 - 1</t>
  </si>
  <si>
    <t>LIght and blue</t>
  </si>
  <si>
    <t>Light, blue and green</t>
  </si>
  <si>
    <t>Blue</t>
  </si>
  <si>
    <t>Dark and green</t>
  </si>
  <si>
    <t>Light and green</t>
  </si>
  <si>
    <t>Red and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</si>
  <si>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</si>
  <si>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</si>
  <si>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</si>
  <si>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2500941 / 2501183 - 2</t>
  </si>
  <si>
    <t>Too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</si>
  <si>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</si>
  <si>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</si>
  <si>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</si>
  <si>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2500941 / 2501183 - 3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</si>
  <si>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</si>
  <si>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</si>
  <si>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</si>
  <si>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2500941 / 2501183 - 4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</si>
  <si>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</si>
  <si>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</si>
  <si>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</si>
  <si>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2500941 / 2501183 - 5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</si>
  <si>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</si>
  <si>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</si>
  <si>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</si>
  <si>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</si>
  <si>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</si>
  <si>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</si>
  <si>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</si>
  <si>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</si>
  <si>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</si>
  <si>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2501393 - 1</t>
  </si>
  <si>
    <t>Dark and blue</t>
  </si>
  <si>
    <t>Slightly yellow</t>
  </si>
  <si>
    <t>Yellow</t>
  </si>
  <si>
    <t>Light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</si>
  <si>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</si>
  <si>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</si>
  <si>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</si>
  <si>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2501393 - 2</t>
  </si>
  <si>
    <t>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</si>
  <si>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</si>
  <si>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</si>
  <si>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</si>
  <si>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</si>
  <si>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</si>
  <si>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</si>
  <si>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</si>
  <si>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</si>
  <si>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2501816 - 1</t>
  </si>
  <si>
    <t>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</si>
  <si>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</si>
  <si>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</si>
  <si>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</si>
  <si>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2501816 - 2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</si>
  <si>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</si>
  <si>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</si>
  <si>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</si>
  <si>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2501816 - 3</t>
  </si>
  <si>
    <t>Dark and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</si>
  <si>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</si>
  <si>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</si>
  <si>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</si>
  <si>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2501816 - 4</t>
  </si>
  <si>
    <t>Green and yellow</t>
  </si>
  <si>
    <t>Dark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</si>
  <si>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</si>
  <si>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</si>
  <si>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</si>
  <si>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2501816 - 5</t>
  </si>
  <si>
    <t>Blue and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</si>
  <si>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</si>
  <si>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</si>
  <si>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</si>
  <si>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</si>
  <si>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</si>
  <si>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</si>
  <si>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</si>
  <si>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</si>
  <si>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2502119 - 1</t>
  </si>
  <si>
    <t>Dark, green and blue</t>
  </si>
  <si>
    <t>Dark, red and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</si>
  <si>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</si>
  <si>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</si>
  <si>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</si>
  <si>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2502119 - 2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</si>
  <si>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</si>
  <si>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</si>
  <si>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</si>
  <si>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2502119 - 3</t>
  </si>
  <si>
    <t>Dark, blue and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</si>
  <si>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</si>
  <si>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</si>
  <si>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</si>
  <si>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</si>
  <si>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</si>
  <si>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</si>
  <si>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</si>
  <si>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</si>
  <si>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2502312 - 1</t>
  </si>
  <si>
    <t>Light, green, and blue</t>
  </si>
  <si>
    <t>Green and blue; Borderline</t>
  </si>
  <si>
    <t>Light and yellow; Borderline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</si>
  <si>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</si>
  <si>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</si>
  <si>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</si>
  <si>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2502312 - 2</t>
  </si>
  <si>
    <t>Light, green and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</si>
  <si>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</si>
  <si>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</si>
  <si>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</si>
  <si>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2502312 - 3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</si>
  <si>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</si>
  <si>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</si>
  <si>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</si>
  <si>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</si>
  <si>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</si>
  <si>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</si>
  <si>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</si>
  <si>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</si>
  <si>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2502433 - 1</t>
  </si>
  <si>
    <t>Green and blue</t>
  </si>
  <si>
    <t>Light, red and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</si>
  <si>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</si>
  <si>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</si>
  <si>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</si>
  <si>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2502433 - 2</t>
  </si>
  <si>
    <t>Slightly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</si>
  <si>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</si>
  <si>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</si>
  <si>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</si>
  <si>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2502433 - 3</t>
  </si>
  <si>
    <t>Blue and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</si>
  <si>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</si>
  <si>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</si>
  <si>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</si>
  <si>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</si>
  <si>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</si>
  <si>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</si>
  <si>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</si>
  <si>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</si>
  <si>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2502695 - 1</t>
  </si>
  <si>
    <t>Dark &amp; Blue</t>
  </si>
  <si>
    <t>Dark &amp; Red</t>
  </si>
  <si>
    <r>
      <rPr>
        <rFont val="Calibri"/>
        <color theme="1"/>
        <sz val="11.0"/>
      </rPr>
      <t>PATTERN EXECUTION:</t>
    </r>
  </si>
  <si>
    <t>Dark Green gradients extend a little far.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</si>
  <si>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</si>
  <si>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</si>
  <si>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2502695 - 2</t>
  </si>
  <si>
    <t>Dark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</si>
  <si>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</si>
  <si>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</si>
  <si>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</si>
  <si>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2502695 - 3</t>
  </si>
  <si>
    <r>
      <rPr>
        <rFont val="Calibri"/>
        <color theme="1"/>
        <sz val="11.0"/>
      </rPr>
      <t>PATTERN EXECUTION:</t>
    </r>
  </si>
  <si>
    <t>Green gradients extend a little far.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</si>
  <si>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</si>
  <si>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</si>
  <si>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2502695 - 4</t>
  </si>
  <si>
    <r>
      <rPr>
        <rFont val="Calibri"/>
        <color theme="1"/>
        <sz val="11.0"/>
      </rPr>
      <t>PATTERN EXECUTION:</t>
    </r>
  </si>
  <si>
    <t>Dark Green gradients extened a little far.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</si>
  <si>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</si>
  <si>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</si>
  <si>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2502695 - 5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</si>
  <si>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</si>
  <si>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</si>
  <si>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</si>
  <si>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</si>
  <si>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</si>
  <si>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</si>
  <si>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</si>
  <si>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</si>
  <si>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2502313 - 1</t>
  </si>
  <si>
    <t>Yellow and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</si>
  <si>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</si>
  <si>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</si>
  <si>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</si>
  <si>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2502313 - 2</t>
  </si>
  <si>
    <t>Slightly dark and yellow</t>
  </si>
  <si>
    <t>LIght</t>
  </si>
  <si>
    <t>Slighlty light</t>
  </si>
  <si>
    <r>
      <rPr>
        <rFont val="Calibri"/>
        <color theme="1"/>
        <sz val="11.0"/>
      </rPr>
      <t>PATTERN EXECUTION:</t>
    </r>
  </si>
  <si>
    <t>Green gradients extend a bit far but ok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</si>
  <si>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</si>
  <si>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</si>
  <si>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2502313 - 3</t>
  </si>
  <si>
    <t>Blue and dark</t>
  </si>
  <si>
    <t>Slightly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</si>
  <si>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</si>
  <si>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</si>
  <si>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</si>
  <si>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</si>
  <si>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</si>
  <si>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</si>
  <si>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</si>
  <si>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</si>
  <si>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2502432 - 1</t>
  </si>
  <si>
    <t>Light &amp; Blue</t>
  </si>
  <si>
    <r>
      <rPr>
        <rFont val="Calibri"/>
        <color theme="1"/>
        <sz val="11.0"/>
      </rPr>
      <t>PATTERN EXECUTION:</t>
    </r>
  </si>
  <si>
    <t>Dark Green gradients a little heavy.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</si>
  <si>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</si>
  <si>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</si>
  <si>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2502432 - 2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</si>
  <si>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</si>
  <si>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</si>
  <si>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</si>
  <si>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2502432 - 3</t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</si>
  <si>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</si>
  <si>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</si>
  <si>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</si>
  <si>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</si>
  <si>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</si>
  <si>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Warning: Noticable shade difference between lot samples.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</si>
  <si>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</si>
  <si>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</si>
  <si>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</si>
  <si>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</si>
  <si>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2502694 - 1</t>
  </si>
  <si>
    <t>Red &amp; Yellow</t>
  </si>
  <si>
    <t>Dark &amp; Red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</si>
  <si>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</si>
  <si>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</si>
  <si>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</si>
  <si>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2502694 - 2</t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</si>
  <si>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</si>
  <si>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</si>
  <si>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</si>
  <si>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</si>
  <si>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2502694 - 3</t>
  </si>
  <si>
    <t>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</si>
  <si>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</si>
  <si>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</si>
  <si>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</si>
  <si>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</si>
  <si>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</si>
  <si>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</si>
  <si>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</si>
  <si>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</si>
  <si>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2502752 - 1</t>
  </si>
  <si>
    <t>Light &amp; Green</t>
  </si>
  <si>
    <t>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</si>
  <si>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</si>
  <si>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</si>
  <si>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</si>
  <si>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2502752 - 2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</si>
  <si>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</si>
  <si>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</si>
  <si>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</si>
  <si>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2502752 - 3</t>
  </si>
  <si>
    <t>Dirty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</si>
  <si>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</si>
  <si>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</si>
  <si>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</si>
  <si>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</si>
  <si>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</si>
  <si>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Irish Transitional MultiCam Pattern (ITMP)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</si>
  <si>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</si>
  <si>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</si>
  <si>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</si>
  <si>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2600854 - 1</t>
  </si>
  <si>
    <t>Irish Cream 570</t>
  </si>
  <si>
    <t>Red &amp; Blue</t>
  </si>
  <si>
    <t>Shamrock Green 571</t>
  </si>
  <si>
    <t>No comment</t>
  </si>
  <si>
    <t>Collins Green 572</t>
  </si>
  <si>
    <t>Curragh Green 573</t>
  </si>
  <si>
    <t>Brugha Brown 574</t>
  </si>
  <si>
    <t>Ordnance Green 575</t>
  </si>
  <si>
    <t>Bay Brown 576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</si>
  <si>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</si>
  <si>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</si>
  <si>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</si>
  <si>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2600854 - 2</t>
  </si>
  <si>
    <t>Light,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</si>
  <si>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</si>
  <si>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</si>
  <si>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</si>
  <si>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2600854 - 3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</si>
  <si>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</si>
  <si>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</si>
  <si>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</si>
  <si>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2600854 - 4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</si>
  <si>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</si>
  <si>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</si>
  <si>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</si>
  <si>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2600854 - 5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</si>
  <si>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</si>
  <si>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</si>
  <si>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</si>
  <si>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</si>
  <si>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</si>
  <si>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</si>
  <si>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</si>
  <si>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</si>
  <si>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2600901 - 1</t>
  </si>
  <si>
    <t>Yellow &amp; Light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</si>
  <si>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</si>
  <si>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</si>
  <si>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</si>
  <si>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2600901 - 2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</si>
  <si>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</si>
  <si>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</si>
  <si>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</si>
  <si>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2600901 - 3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</si>
  <si>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</si>
  <si>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</si>
  <si>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</si>
  <si>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2600901 - 4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</si>
  <si>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</si>
  <si>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</si>
  <si>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</si>
  <si>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2600901 - 5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</si>
  <si>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</si>
  <si>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</si>
  <si>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</si>
  <si>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</si>
  <si>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</si>
  <si>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</si>
  <si>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</si>
  <si>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</si>
  <si>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2601960 - 1</t>
  </si>
  <si>
    <t>Light, Green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</si>
  <si>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</si>
  <si>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</si>
  <si>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</si>
  <si>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2601960 - 2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</si>
  <si>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</si>
  <si>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</si>
  <si>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</si>
  <si>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2601960 - 3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</si>
  <si>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</si>
  <si>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</si>
  <si>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</si>
  <si>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</si>
  <si>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</si>
  <si>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</si>
  <si>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</si>
  <si>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</si>
  <si>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2602058 - 1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</si>
  <si>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</si>
  <si>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</si>
  <si>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</si>
  <si>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2602058 - 2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</si>
  <si>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</si>
  <si>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</si>
  <si>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</si>
  <si>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2602058 - 3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</si>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</sst>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-d-yy"/>
    <numFmt numFmtId="166" formatCode="mm-dd-yy"/>
    <numFmt numFmtId="167" formatCode="m/d/yy"/>
    <numFmt numFmtId="168" formatCode="mm/dd/yy"/>
    <numFmt numFmtId="169" formatCode="mm/dd/yyyy"/>
    <numFmt numFmtId="170" formatCode="m/d/yyyy"/>
  </numFmts>
  <fonts count="27">
    <font>
      <sz val="10.0"/>
      <color rgb="FF000000"/>
      <name val="Arial"/>
      <scheme val="minor"/>
    </font>
    <font>
      <sz val="11.0"/>
      <color rgb="FFE0DDD9"/>
      <name val="Inherit"/>
    </font>
    <font>
      <color theme="1"/>
      <name val="Arial"/>
      <scheme val="minor"/>
    </font>
    <font>
      <sz val="9.0"/>
      <color rgb="FFE8E6E3"/>
      <name val="&quot;Google Sans Mono&quot;"/>
    </font>
    <font>
      <sz val="11.0"/>
      <color rgb="FFE8E6E3"/>
      <name val="&quot;Söhne Mono&quot;"/>
    </font>
    <font>
      <b/>
      <sz val="14.0"/>
      <color theme="1"/>
      <name val="Arial"/>
    </font>
    <font>
      <b/>
      <sz val="9.0"/>
      <color theme="1"/>
      <name val="Arial"/>
    </font>
    <font>
      <color theme="1"/>
      <name val="Arial"/>
    </font>
    <font>
      <b/>
      <sz val="6.0"/>
      <color theme="1"/>
      <name val="Arial"/>
    </font>
    <font/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rgb="FF000000"/>
      <name val="Arial"/>
    </font>
    <font>
      <b/>
      <u/>
      <color rgb="FF000000"/>
      <name val="Arial"/>
    </font>
    <font>
      <b/>
      <u/>
      <color theme="1"/>
      <name val="Arial"/>
    </font>
    <font>
      <b/>
      <color theme="1"/>
      <name val="Arial"/>
    </font>
    <font>
      <b/>
      <sz val="33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9.0"/>
      <color rgb="FF000000"/>
      <name val="Arial"/>
    </font>
    <font>
      <sz val="9.0"/>
      <color rgb="FF000000"/>
      <name val="&quot;Google Sans Mono&quot;"/>
    </font>
    <font>
      <color theme="1"/>
      <name val="&quot;Times New Roman&quot;"/>
    </font>
    <font>
      <color rgb="FF000000"/>
      <name val="Inherit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4BD97"/>
        <bgColor rgb="FFC4BD97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2" fontId="3" numFmtId="0" xfId="0" applyFill="1" applyFont="1"/>
    <xf borderId="0" fillId="3" fontId="4" numFmtId="0" xfId="0" applyAlignment="1" applyFill="1" applyFont="1">
      <alignment horizontal="left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9" numFmtId="0" xfId="0" applyBorder="1" applyFont="1"/>
    <xf borderId="4" fillId="2" fontId="10" numFmtId="0" xfId="0" applyAlignment="1" applyBorder="1" applyFont="1">
      <alignment readingOrder="0" shrinkToFit="0" vertical="bottom" wrapText="1"/>
    </xf>
    <xf borderId="4" fillId="0" fontId="9" numFmtId="0" xfId="0" applyBorder="1" applyFont="1"/>
    <xf borderId="4" fillId="0" fontId="7" numFmtId="0" xfId="0" applyAlignment="1" applyBorder="1" applyFont="1">
      <alignment vertical="bottom"/>
    </xf>
    <xf borderId="4" fillId="0" fontId="7" numFmtId="49" xfId="0" applyAlignment="1" applyBorder="1" applyFont="1" applyNumberFormat="1">
      <alignment vertical="bottom"/>
    </xf>
    <xf borderId="4" fillId="0" fontId="7" numFmtId="164" xfId="0" applyAlignment="1" applyBorder="1" applyFont="1" applyNumberFormat="1">
      <alignment vertical="bottom"/>
    </xf>
    <xf borderId="5" fillId="0" fontId="11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49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" fillId="2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readingOrder="0"/>
    </xf>
    <xf borderId="1" fillId="0" fontId="2" numFmtId="168" xfId="0" applyAlignment="1" applyBorder="1" applyFont="1" applyNumberFormat="1">
      <alignment readingOrder="0"/>
    </xf>
    <xf borderId="1" fillId="0" fontId="2" numFmtId="169" xfId="0" applyAlignment="1" applyBorder="1" applyFont="1" applyNumberFormat="1">
      <alignment readingOrder="0"/>
    </xf>
    <xf borderId="1" fillId="0" fontId="2" numFmtId="170" xfId="0" applyAlignment="1" applyBorder="1" applyFont="1" applyNumberFormat="1">
      <alignment readingOrder="0"/>
    </xf>
    <xf borderId="0" fillId="0" fontId="2" numFmtId="49" xfId="0" applyFont="1" applyNumberFormat="1"/>
    <xf borderId="2" fillId="5" fontId="20" numFmtId="0" xfId="0" applyAlignment="1" applyBorder="1" applyFill="1" applyFont="1">
      <alignment readingOrder="0" shrinkToFit="0" vertical="top" wrapText="1"/>
    </xf>
    <xf borderId="7" fillId="0" fontId="9" numFmtId="0" xfId="0" applyBorder="1" applyFont="1"/>
    <xf borderId="5" fillId="0" fontId="21" numFmtId="0" xfId="0" applyAlignment="1" applyBorder="1" applyFont="1">
      <alignment shrinkToFit="0" vertical="top" wrapText="1"/>
    </xf>
    <xf borderId="4" fillId="0" fontId="22" numFmtId="0" xfId="0" applyAlignment="1" applyBorder="1" applyFont="1">
      <alignment shrinkToFit="0" vertical="top" wrapText="1"/>
    </xf>
    <xf borderId="6" fillId="0" fontId="21" numFmtId="0" xfId="0" applyAlignment="1" applyBorder="1" applyFont="1">
      <alignment shrinkToFit="0" vertical="top" wrapText="1"/>
    </xf>
    <xf borderId="6" fillId="0" fontId="7" numFmtId="0" xfId="0" applyAlignment="1" applyBorder="1" applyFont="1">
      <alignment horizontal="right" vertical="top"/>
    </xf>
    <xf borderId="6" fillId="0" fontId="7" numFmtId="0" xfId="0" applyAlignment="1" applyBorder="1" applyFont="1">
      <alignment horizontal="right" vertical="bottom"/>
    </xf>
    <xf borderId="1" fillId="0" fontId="21" numFmtId="0" xfId="0" applyAlignment="1" applyBorder="1" applyFont="1">
      <alignment horizontal="left" readingOrder="0" shrinkToFit="0" vertical="top" wrapText="1"/>
    </xf>
    <xf borderId="4" fillId="0" fontId="22" numFmtId="0" xfId="0" applyAlignment="1" applyBorder="1" applyFont="1">
      <alignment horizontal="left" readingOrder="0" shrinkToFit="0" vertical="top" wrapText="1"/>
    </xf>
    <xf borderId="6" fillId="0" fontId="19" numFmtId="0" xfId="0" applyAlignment="1" applyBorder="1" applyFont="1">
      <alignment shrinkToFit="0" wrapText="1"/>
    </xf>
    <xf borderId="6" fillId="0" fontId="7" numFmtId="0" xfId="0" applyAlignment="1" applyBorder="1" applyFont="1">
      <alignment horizontal="right"/>
    </xf>
    <xf borderId="4" fillId="0" fontId="2" numFmtId="0" xfId="0" applyBorder="1" applyFont="1"/>
    <xf borderId="6" fillId="0" fontId="7" numFmtId="49" xfId="0" applyAlignment="1" applyBorder="1" applyFont="1" applyNumberFormat="1">
      <alignment horizontal="right" vertical="top"/>
    </xf>
    <xf borderId="6" fillId="0" fontId="19" numFmtId="0" xfId="0" applyAlignment="1" applyBorder="1" applyFont="1">
      <alignment readingOrder="0" vertical="top"/>
    </xf>
    <xf borderId="5" fillId="5" fontId="21" numFmtId="0" xfId="0" applyAlignment="1" applyBorder="1" applyFont="1">
      <alignment shrinkToFit="0" vertical="top" wrapText="1"/>
    </xf>
    <xf borderId="6" fillId="5" fontId="21" numFmtId="0" xfId="0" applyAlignment="1" applyBorder="1" applyFont="1">
      <alignment shrinkToFit="0" vertical="top" wrapText="1"/>
    </xf>
    <xf borderId="2" fillId="5" fontId="21" numFmtId="0" xfId="0" applyAlignment="1" applyBorder="1" applyFont="1">
      <alignment horizontal="center" shrinkToFit="0" vertical="top" wrapText="1"/>
    </xf>
    <xf borderId="6" fillId="5" fontId="21" numFmtId="0" xfId="0" applyAlignment="1" applyBorder="1" applyFont="1">
      <alignment horizontal="center" shrinkToFit="0" vertical="top" wrapText="1"/>
    </xf>
    <xf borderId="5" fillId="6" fontId="22" numFmtId="0" xfId="0" applyAlignment="1" applyBorder="1" applyFill="1" applyFont="1">
      <alignment horizontal="right" readingOrder="0" shrinkToFit="0" vertical="top" wrapText="1"/>
    </xf>
    <xf borderId="6" fillId="6" fontId="22" numFmtId="0" xfId="0" applyAlignment="1" applyBorder="1" applyFont="1">
      <alignment horizontal="center" readingOrder="0" shrinkToFit="0" vertical="top" wrapText="1"/>
    </xf>
    <xf borderId="6" fillId="6" fontId="7" numFmtId="0" xfId="0" applyAlignment="1" applyBorder="1" applyFont="1">
      <alignment readingOrder="0" vertical="bottom"/>
    </xf>
    <xf borderId="4" fillId="6" fontId="2" numFmtId="0" xfId="0" applyBorder="1" applyFont="1"/>
    <xf borderId="1" fillId="2" fontId="23" numFmtId="0" xfId="0" applyBorder="1" applyFont="1"/>
    <xf borderId="8" fillId="6" fontId="7" numFmtId="0" xfId="0" applyAlignment="1" applyBorder="1" applyFont="1">
      <alignment readingOrder="0" vertical="top"/>
    </xf>
    <xf borderId="6" fillId="6" fontId="7" numFmtId="0" xfId="0" applyAlignment="1" applyBorder="1" applyFont="1">
      <alignment readingOrder="0" vertical="top"/>
    </xf>
    <xf borderId="8" fillId="0" fontId="9" numFmtId="0" xfId="0" applyBorder="1" applyFont="1"/>
    <xf borderId="1" fillId="6" fontId="22" numFmtId="0" xfId="0" applyAlignment="1" applyBorder="1" applyFont="1">
      <alignment horizontal="right" shrinkToFit="0" vertical="top" wrapText="1"/>
    </xf>
    <xf borderId="9" fillId="6" fontId="7" numFmtId="0" xfId="0" applyAlignment="1" applyBorder="1" applyFont="1">
      <alignment vertical="bottom"/>
    </xf>
    <xf borderId="3" fillId="6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5" fillId="6" fontId="22" numFmtId="0" xfId="0" applyAlignment="1" applyBorder="1" applyFont="1">
      <alignment horizontal="right" shrinkToFit="0" vertical="top" wrapText="1"/>
    </xf>
    <xf borderId="10" fillId="0" fontId="9" numFmtId="0" xfId="0" applyBorder="1" applyFont="1"/>
    <xf borderId="5" fillId="0" fontId="9" numFmtId="0" xfId="0" applyBorder="1" applyFont="1"/>
    <xf borderId="5" fillId="0" fontId="22" numFmtId="0" xfId="0" applyAlignment="1" applyBorder="1" applyFont="1">
      <alignment horizontal="right" readingOrder="0" shrinkToFit="0" vertical="top" wrapText="1"/>
    </xf>
    <xf borderId="6" fillId="0" fontId="22" numFmtId="0" xfId="0" applyAlignment="1" applyBorder="1" applyFont="1">
      <alignment horizontal="center" readingOrder="0" shrinkToFit="0" vertical="top" wrapText="1"/>
    </xf>
    <xf borderId="6" fillId="0" fontId="7" numFmtId="0" xfId="0" applyAlignment="1" applyBorder="1" applyFont="1">
      <alignment readingOrder="0" vertical="bottom"/>
    </xf>
    <xf borderId="8" fillId="0" fontId="7" numFmtId="0" xfId="0" applyAlignment="1" applyBorder="1" applyFont="1">
      <alignment readingOrder="0" vertical="top"/>
    </xf>
    <xf borderId="6" fillId="0" fontId="7" numFmtId="0" xfId="0" applyAlignment="1" applyBorder="1" applyFont="1">
      <alignment readingOrder="0" vertical="top"/>
    </xf>
    <xf borderId="1" fillId="0" fontId="22" numFmtId="0" xfId="0" applyAlignment="1" applyBorder="1" applyFont="1">
      <alignment horizontal="right" shrinkToFit="0" vertical="top" wrapText="1"/>
    </xf>
    <xf borderId="9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5" fillId="0" fontId="22" numFmtId="0" xfId="0" applyAlignment="1" applyBorder="1" applyFont="1">
      <alignment horizontal="right" shrinkToFit="0" vertical="top" wrapText="1"/>
    </xf>
    <xf borderId="5" fillId="6" fontId="22" numFmtId="0" xfId="0" applyAlignment="1" applyBorder="1" applyFont="1">
      <alignment horizontal="right" shrinkToFit="0" vertical="top" wrapText="1"/>
    </xf>
    <xf borderId="10" fillId="6" fontId="7" numFmtId="0" xfId="0" applyBorder="1" applyFont="1"/>
    <xf borderId="1" fillId="2" fontId="24" numFmtId="0" xfId="0" applyBorder="1" applyFont="1"/>
    <xf borderId="11" fillId="5" fontId="21" numFmtId="0" xfId="0" applyAlignment="1" applyBorder="1" applyFont="1">
      <alignment readingOrder="0" shrinkToFit="0" vertical="top" wrapText="1"/>
    </xf>
    <xf borderId="4" fillId="5" fontId="21" numFmtId="0" xfId="0" applyAlignment="1" applyBorder="1" applyFont="1">
      <alignment horizontal="center" shrinkToFit="0" vertical="top" wrapText="1"/>
    </xf>
    <xf borderId="1" fillId="5" fontId="21" numFmtId="0" xfId="0" applyAlignment="1" applyBorder="1" applyFont="1">
      <alignment horizontal="center" shrinkToFit="0" vertical="top" wrapText="1"/>
    </xf>
    <xf borderId="11" fillId="0" fontId="25" numFmtId="0" xfId="0" applyAlignment="1" applyBorder="1" applyFont="1">
      <alignment readingOrder="0" shrinkToFit="0" vertical="bottom" wrapText="1"/>
    </xf>
    <xf borderId="2" fillId="5" fontId="20" numFmtId="0" xfId="0" applyAlignment="1" applyBorder="1" applyFont="1">
      <alignment horizontal="right" readingOrder="0" shrinkToFit="0" vertical="top" wrapText="1"/>
    </xf>
    <xf borderId="5" fillId="0" fontId="21" numFmtId="0" xfId="0" applyAlignment="1" applyBorder="1" applyFont="1">
      <alignment horizontal="right" shrinkToFit="0" vertical="top" wrapText="1"/>
    </xf>
    <xf borderId="4" fillId="0" fontId="22" numFmtId="0" xfId="0" applyAlignment="1" applyBorder="1" applyFont="1">
      <alignment horizontal="right" shrinkToFit="0" vertical="top" wrapText="1"/>
    </xf>
    <xf borderId="1" fillId="0" fontId="21" numFmtId="0" xfId="0" applyAlignment="1" applyBorder="1" applyFont="1">
      <alignment horizontal="right" readingOrder="0" shrinkToFit="0" vertical="top" wrapText="1"/>
    </xf>
    <xf borderId="4" fillId="0" fontId="22" numFmtId="0" xfId="0" applyAlignment="1" applyBorder="1" applyFont="1">
      <alignment horizontal="right" readingOrder="0" shrinkToFit="0" vertical="top" wrapText="1"/>
    </xf>
    <xf borderId="4" fillId="0" fontId="2" numFmtId="0" xfId="0" applyAlignment="1" applyBorder="1" applyFont="1">
      <alignment horizontal="right"/>
    </xf>
    <xf borderId="5" fillId="5" fontId="21" numFmtId="0" xfId="0" applyAlignment="1" applyBorder="1" applyFont="1">
      <alignment horizontal="right" shrinkToFit="0" vertical="top" wrapText="1"/>
    </xf>
    <xf borderId="6" fillId="6" fontId="22" numFmtId="0" xfId="0" applyAlignment="1" applyBorder="1" applyFont="1">
      <alignment horizontal="right" readingOrder="0" shrinkToFit="0" vertical="top" wrapText="1"/>
    </xf>
    <xf borderId="8" fillId="6" fontId="7" numFmtId="0" xfId="0" applyAlignment="1" applyBorder="1" applyFont="1">
      <alignment horizontal="right" readingOrder="0" vertical="top"/>
    </xf>
    <xf borderId="6" fillId="6" fontId="7" numFmtId="0" xfId="0" applyAlignment="1" applyBorder="1" applyFont="1">
      <alignment horizontal="right" readingOrder="0" vertical="top"/>
    </xf>
    <xf borderId="3" fillId="6" fontId="7" numFmtId="0" xfId="0" applyAlignment="1" applyBorder="1" applyFont="1">
      <alignment readingOrder="0" vertical="bottom"/>
    </xf>
    <xf borderId="1" fillId="0" fontId="26" numFmtId="0" xfId="0" applyAlignment="1" applyBorder="1" applyFont="1">
      <alignment horizontal="left"/>
    </xf>
    <xf borderId="8" fillId="0" fontId="7" numFmtId="0" xfId="0" applyAlignment="1" applyBorder="1" applyFont="1">
      <alignment horizontal="right" readingOrder="0" vertical="top"/>
    </xf>
    <xf borderId="6" fillId="0" fontId="7" numFmtId="0" xfId="0" applyAlignment="1" applyBorder="1" applyFont="1">
      <alignment horizontal="right" readingOrder="0" vertical="top"/>
    </xf>
    <xf borderId="10" fillId="0" fontId="7" numFmtId="0" xfId="0" applyBorder="1" applyFont="1"/>
    <xf borderId="11" fillId="5" fontId="21" numFmtId="0" xfId="0" applyAlignment="1" applyBorder="1" applyFont="1">
      <alignment horizontal="right" readingOrder="0" shrinkToFit="0" vertical="top" wrapText="1"/>
    </xf>
    <xf borderId="11" fillId="0" fontId="25" numFmtId="0" xfId="0" applyAlignment="1" applyBorder="1" applyFont="1">
      <alignment horizontal="right" readingOrder="0" shrinkToFit="0" vertical="bottom" wrapText="1"/>
    </xf>
    <xf borderId="0" fillId="0" fontId="2" numFmtId="0" xfId="0" applyAlignment="1" applyFont="1">
      <alignment horizontal="right"/>
    </xf>
    <xf borderId="4" fillId="0" fontId="22" numFmtId="0" xfId="0" applyAlignment="1" applyBorder="1" applyFont="1">
      <alignment readingOrder="0" shrinkToFit="0" vertical="top" wrapText="1"/>
    </xf>
    <xf borderId="6" fillId="0" fontId="7" numFmtId="0" xfId="0" applyAlignment="1" applyBorder="1" applyFont="1">
      <alignment horizontal="right" readingOrder="0" vertical="bottom"/>
    </xf>
    <xf borderId="6" fillId="0" fontId="7" numFmtId="0" xfId="0" applyAlignment="1" applyBorder="1" applyFont="1">
      <alignment horizontal="right" readingOrder="0"/>
    </xf>
    <xf borderId="6" fillId="0" fontId="7" numFmtId="0" xfId="0" applyAlignment="1" applyBorder="1" applyFont="1">
      <alignment horizontal="right" readingOrder="0" vertical="bottom"/>
    </xf>
    <xf borderId="6" fillId="0" fontId="7" numFmtId="14" xfId="0" applyAlignment="1" applyBorder="1" applyFont="1" applyNumberFormat="1">
      <alignment horizontal="right" readingOrder="0" vertical="bottom"/>
    </xf>
    <xf borderId="6" fillId="0" fontId="7" numFmtId="49" xfId="0" applyAlignment="1" applyBorder="1" applyFont="1" applyNumberFormat="1">
      <alignment horizontal="right" readingOrder="0" vertical="top"/>
    </xf>
    <xf borderId="4" fillId="6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3" fillId="0" fontId="7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/>
    </xf>
    <xf borderId="6" fillId="0" fontId="2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828675</xdr:colOff>
      <xdr:row>0</xdr:row>
      <xdr:rowOff>0</xdr:rowOff>
    </xdr:from>
    <xdr:ext cx="1371600" cy="733425"/>
    <xdr:sp>
      <xdr:nvSpPr>
        <xdr:cNvPr id="3" name="Shape 3"/>
        <xdr:cNvSpPr txBox="1"/>
      </xdr:nvSpPr>
      <xdr:spPr>
        <a:xfrm>
          <a:off x="390275" y="140100"/>
          <a:ext cx="1350900" cy="7104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1</xdr:row>
      <xdr:rowOff>504825</xdr:rowOff>
    </xdr:from>
    <xdr:ext cx="1438275" cy="514350"/>
    <xdr:sp>
      <xdr:nvSpPr>
        <xdr:cNvPr id="4" name="Shape 4"/>
        <xdr:cNvSpPr/>
      </xdr:nvSpPr>
      <xdr:spPr>
        <a:xfrm>
          <a:off x="330225" y="400275"/>
          <a:ext cx="1893000" cy="670500"/>
        </a:xfrm>
        <a:prstGeom prst="bevel">
          <a:avLst>
            <a:gd fmla="val 12500" name="adj"/>
          </a:avLst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25</xdr:row>
      <xdr:rowOff>171450</xdr:rowOff>
    </xdr:from>
    <xdr:ext cx="1152525" cy="285750"/>
    <xdr:sp>
      <xdr:nvSpPr>
        <xdr:cNvPr id="6" name="Shape 6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25</xdr:row>
      <xdr:rowOff>171450</xdr:rowOff>
    </xdr:from>
    <xdr:ext cx="1152525" cy="285750"/>
    <xdr:sp>
      <xdr:nvSpPr>
        <xdr:cNvPr id="6" name="Shape 6"/>
        <xdr:cNvSpPr/>
      </xdr:nvSpPr>
      <xdr:spPr>
        <a:xfrm>
          <a:off x="1070750" y="290200"/>
          <a:ext cx="1521000" cy="36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55</xdr:row>
      <xdr:rowOff>180975</xdr:rowOff>
    </xdr:from>
    <xdr:ext cx="1323975" cy="266700"/>
    <xdr:sp>
      <xdr:nvSpPr>
        <xdr:cNvPr id="5" name="Shape 5"/>
        <xdr:cNvSpPr/>
      </xdr:nvSpPr>
      <xdr:spPr>
        <a:xfrm>
          <a:off x="390275" y="230175"/>
          <a:ext cx="1471200" cy="2802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35</xdr:row>
      <xdr:rowOff>171450</xdr:rowOff>
    </xdr:from>
    <xdr:ext cx="1285875" cy="266700"/>
    <xdr:sp>
      <xdr:nvSpPr>
        <xdr:cNvPr id="7" name="Shape 7"/>
        <xdr:cNvSpPr/>
      </xdr:nvSpPr>
      <xdr:spPr>
        <a:xfrm>
          <a:off x="1641175" y="600450"/>
          <a:ext cx="1661100" cy="33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37.25"/>
  </cols>
  <sheetData>
    <row r="1">
      <c r="A1" s="1" t="str">
        <f>IFERROR(__xludf.DUMMYFUNCTION("ImportRange(""1FACJ2GWxDApA45qcKsmOlNfKDg28skQobe4xLDRVhvc"",""FirstArticleSummary!B4:B"")"),"443002 - MC")</f>
        <v>443002 - MC</v>
      </c>
      <c r="B1" s="2" t="str">
        <f>IFERROR(__xludf.DUMMYFUNCTION("ImportRange(""1FACJ2GWxDApA45qcKsmOlNfKDg28skQobe4xLDRVhvc"",""FirstArticleSummary!C4:C"")"),"MultiCam®")</f>
        <v>MultiCam®</v>
      </c>
      <c r="C1" s="2" t="str">
        <f t="shared" ref="C1:C1000" si="1">CONCATENATE(A1," ",B1)</f>
        <v>443002 - MC MultiCam®</v>
      </c>
      <c r="D1" s="3" t="str">
        <f>IFERROR(__xludf.DUMMYFUNCTION("ImportRange(""1FACJ2GWxDApA45qcKsmOlNfKDg28skQobe4xLDRVhvc"",""DATA!A:A"")"),"")</f>
        <v/>
      </c>
      <c r="E1" s="2" t="str">
        <f>IFERROR(__xludf.DUMMYFUNCTION("ImportRange(""15tsJuLAONvwFkFP9Y2LXKatUYKwca8UEhyHRQxPp1dg"",""DATA!A:A"")"),"")</f>
        <v/>
      </c>
      <c r="F1" s="2" t="str">
        <f>IFERROR(__xludf.DUMMYFUNCTION("UNIQUE(FLATTEN({D:D; E:E}))"),"")</f>
        <v/>
      </c>
      <c r="G1" s="4" t="str">
        <f>IFERROR(__xludf.DUMMYFUNCTION("ARRAYFORMULA(IF(INDEX(ARRAYFORMULA(CONDITIONAL_FORMAT_RULES(IMPORTRANGE(""FirstArticleSummary!N4:N""))), 1, 1) = ""green"", IMPORTRANGE(""1FACJ2GWxDApA45qcKsmOlNfKDg28skQobe4xLDRVhvc"", ""DATA!A:A""), """"))"),"#NAME?")</f>
        <v>#NAME?</v>
      </c>
    </row>
    <row r="2">
      <c r="A2" s="1" t="str">
        <f>IFERROR(__xludf.DUMMYFUNCTION("""COMPUTED_VALUE"""),"Shadow")</f>
        <v>Shadow</v>
      </c>
      <c r="B2" s="2" t="str">
        <f>IFERROR(__xludf.DUMMYFUNCTION("""COMPUTED_VALUE"""),"MultiCam®")</f>
        <v>MultiCam®</v>
      </c>
      <c r="C2" s="2" t="str">
        <f t="shared" si="1"/>
        <v>Shadow MultiCam®</v>
      </c>
      <c r="D2" s="2" t="str">
        <f>IFERROR(__xludf.DUMMYFUNCTION("""COMPUTED_VALUE"""),"")</f>
        <v/>
      </c>
      <c r="E2" s="2" t="str">
        <f>IFERROR(__xludf.DUMMYFUNCTION("""COMPUTED_VALUE"""),"")</f>
        <v/>
      </c>
      <c r="F2" s="2" t="str">
        <f>IFERROR(__xludf.DUMMYFUNCTION("""COMPUTED_VALUE"""),"443002 - MC - MC - MT-25000213")</f>
        <v>443002 - MC - MC - MT-25000213</v>
      </c>
    </row>
    <row r="3">
      <c r="A3" s="2" t="str">
        <f>IFERROR(__xludf.DUMMYFUNCTION("""COMPUTED_VALUE"""),"W-1035")</f>
        <v>W-1035</v>
      </c>
      <c r="B3" s="2" t="str">
        <f>IFERROR(__xludf.DUMMYFUNCTION("""COMPUTED_VALUE"""),"MultiCam®")</f>
        <v>MultiCam®</v>
      </c>
      <c r="C3" s="2" t="str">
        <f t="shared" si="1"/>
        <v>W-1035 MultiCam®</v>
      </c>
      <c r="D3" s="2" t="str">
        <f>IFERROR(__xludf.DUMMYFUNCTION("""COMPUTED_VALUE"""),"")</f>
        <v/>
      </c>
      <c r="E3" s="2" t="str">
        <f>IFERROR(__xludf.DUMMYFUNCTION("""COMPUTED_VALUE"""),"")</f>
        <v/>
      </c>
      <c r="F3" s="2" t="str">
        <f>IFERROR(__xludf.DUMMYFUNCTION("""COMPUTED_VALUE"""),"W-1035 - MC - MT-25006141")</f>
        <v>W-1035 - MC - MT-25006141</v>
      </c>
    </row>
    <row r="4">
      <c r="A4" s="2" t="str">
        <f>IFERROR(__xludf.DUMMYFUNCTION("""COMPUTED_VALUE"""),"W-1035")</f>
        <v>W-1035</v>
      </c>
      <c r="B4" s="2" t="str">
        <f>IFERROR(__xludf.DUMMYFUNCTION("""COMPUTED_VALUE"""),"MultiCam®")</f>
        <v>MultiCam®</v>
      </c>
      <c r="C4" s="2" t="str">
        <f t="shared" si="1"/>
        <v>W-1035 MultiCam®</v>
      </c>
      <c r="D4" s="2" t="str">
        <f>IFERROR(__xludf.DUMMYFUNCTION("""COMPUTED_VALUE"""),"443002 - MC - MC - MT-25000213")</f>
        <v>443002 - MC - MC - MT-25000213</v>
      </c>
      <c r="E4" s="2" t="str">
        <f>IFERROR(__xludf.DUMMYFUNCTION("""COMPUTED_VALUE"""),"VTX - MC - ")</f>
        <v>VTX - MC - </v>
      </c>
      <c r="F4" s="2" t="str">
        <f>IFERROR(__xludf.DUMMYFUNCTION("""COMPUTED_VALUE"""),"500D Cordura(r) ITMP(R) DWR - ITMP - MT-25006137")</f>
        <v>500D Cordura(r) ITMP(R) DWR - ITMP - MT-25006137</v>
      </c>
    </row>
    <row r="5">
      <c r="A5" s="2" t="str">
        <f>IFERROR(__xludf.DUMMYFUNCTION("""COMPUTED_VALUE"""),"500D Cordura(r) ITMP(R) DWR")</f>
        <v>500D Cordura(r) ITMP(R) DWR</v>
      </c>
      <c r="B5" s="2" t="str">
        <f>IFERROR(__xludf.DUMMYFUNCTION("""COMPUTED_VALUE"""),"Irish Transitional MultiCam Pattern (ITMP)")</f>
        <v>Irish Transitional MultiCam Pattern (ITMP)</v>
      </c>
      <c r="C5" s="2" t="str">
        <f t="shared" si="1"/>
        <v>500D Cordura(r) ITMP(R) DWR Irish Transitional MultiCam Pattern (ITMP)</v>
      </c>
      <c r="D5" s="2" t="str">
        <f>IFERROR(__xludf.DUMMYFUNCTION("""COMPUTED_VALUE"""),"")</f>
        <v/>
      </c>
      <c r="E5" s="2" t="str">
        <f>IFERROR(__xludf.DUMMYFUNCTION("""COMPUTED_VALUE"""),"VTX - MCBlack - ")</f>
        <v>VTX - MCBlack - </v>
      </c>
      <c r="F5" s="2" t="str">
        <f>IFERROR(__xludf.DUMMYFUNCTION("""COMPUTED_VALUE"""),"500D Cordura(r) ITMP(r) DWR + FR - ITMP - MT-25006137")</f>
        <v>500D Cordura(r) ITMP(r) DWR + FR - ITMP - MT-25006137</v>
      </c>
    </row>
    <row r="6">
      <c r="A6" s="2" t="str">
        <f>IFERROR(__xludf.DUMMYFUNCTION("""COMPUTED_VALUE"""),"500D Cordura(r) ITMP(r) DWR + FR")</f>
        <v>500D Cordura(r) ITMP(r) DWR + FR</v>
      </c>
      <c r="B6" s="2" t="str">
        <f>IFERROR(__xludf.DUMMYFUNCTION("""COMPUTED_VALUE"""),"Irish Transitional MultiCam Pattern (ITMP)")</f>
        <v>Irish Transitional MultiCam Pattern (ITMP)</v>
      </c>
      <c r="C6" s="2" t="str">
        <f t="shared" si="1"/>
        <v>500D Cordura(r) ITMP(r) DWR + FR Irish Transitional MultiCam Pattern (ITMP)</v>
      </c>
      <c r="D6" s="2" t="str">
        <f>IFERROR(__xludf.DUMMYFUNCTION("""COMPUTED_VALUE"""),"")</f>
        <v/>
      </c>
      <c r="E6" s="2" t="str">
        <f>IFERROR(__xludf.DUMMYFUNCTION("""COMPUTED_VALUE"""),"VTX - MCTropic - ")</f>
        <v>VTX - MCTropic - </v>
      </c>
      <c r="F6" s="2" t="str">
        <f>IFERROR(__xludf.DUMMYFUNCTION("""COMPUTED_VALUE"""),"W-0936 NYCO Rigid MultiCam(R) TROPIC 9/23/2025 - MCTropic - 25008248")</f>
        <v>W-0936 NYCO Rigid MultiCam(R) TROPIC 9/23/2025 - MCTropic - 25008248</v>
      </c>
    </row>
    <row r="7">
      <c r="A7" s="2" t="str">
        <f>IFERROR(__xludf.DUMMYFUNCTION("""COMPUTED_VALUE"""),"W-0936 NYCO Rigid MultiCam(R) TROPIC 9/23/2025")</f>
        <v>W-0936 NYCO Rigid MultiCam(R) TROPIC 9/23/2025</v>
      </c>
      <c r="B7" s="2" t="str">
        <f>IFERROR(__xludf.DUMMYFUNCTION("""COMPUTED_VALUE"""),"MultiCam® Tropic")</f>
        <v>MultiCam® Tropic</v>
      </c>
      <c r="C7" s="2" t="str">
        <f t="shared" si="1"/>
        <v>W-0936 NYCO Rigid MultiCam(R) TROPIC 9/23/2025 MultiCam® Tropic</v>
      </c>
      <c r="D7" s="2" t="str">
        <f>IFERROR(__xludf.DUMMYFUNCTION("""COMPUTED_VALUE"""),"W-1035 - MC - MT-25006141")</f>
        <v>W-1035 - MC - MT-25006141</v>
      </c>
      <c r="E7" s="2" t="str">
        <f>IFERROR(__xludf.DUMMYFUNCTION("""COMPUTED_VALUE"""),"VTX - MCArid - ")</f>
        <v>VTX - MCArid - </v>
      </c>
      <c r="F7" s="2" t="str">
        <f>IFERROR(__xludf.DUMMYFUNCTION("""COMPUTED_VALUE"""),"W-0936 NYCO Rigid MC - MC - 26000589")</f>
        <v>W-0936 NYCO Rigid MC - MC - 26000589</v>
      </c>
    </row>
    <row r="8">
      <c r="A8" s="2" t="str">
        <f>IFERROR(__xludf.DUMMYFUNCTION("""COMPUTED_VALUE"""),"W-0936 NYCO Rigid MC")</f>
        <v>W-0936 NYCO Rigid MC</v>
      </c>
      <c r="B8" s="2" t="str">
        <f>IFERROR(__xludf.DUMMYFUNCTION("""COMPUTED_VALUE"""),"MultiCam®")</f>
        <v>MultiCam®</v>
      </c>
      <c r="C8" s="2" t="str">
        <f t="shared" si="1"/>
        <v>W-0936 NYCO Rigid MC MultiCam®</v>
      </c>
      <c r="D8" s="2" t="str">
        <f>IFERROR(__xludf.DUMMYFUNCTION("""COMPUTED_VALUE"""),"500D Cordura(r) ITMP(R) DWR - ITMP - MT-25006137")</f>
        <v>500D Cordura(r) ITMP(R) DWR - ITMP - MT-25006137</v>
      </c>
      <c r="E8" s="2" t="str">
        <f>IFERROR(__xludf.DUMMYFUNCTION("""COMPUTED_VALUE"""),"W-0516 NYCO Mechanical Stretch - MC - ")</f>
        <v>W-0516 NYCO Mechanical Stretch - MC - </v>
      </c>
      <c r="F8" s="2"/>
    </row>
    <row r="9">
      <c r="A9" s="2"/>
      <c r="B9" s="2"/>
      <c r="C9" s="2" t="str">
        <f t="shared" si="1"/>
        <v> </v>
      </c>
      <c r="D9" s="2" t="str">
        <f>IFERROR(__xludf.DUMMYFUNCTION("""COMPUTED_VALUE"""),"500D Cordura(r) ITMP(r) DWR + FR - ITMP - MT-25006137")</f>
        <v>500D Cordura(r) ITMP(r) DWR + FR - ITMP - MT-25006137</v>
      </c>
      <c r="E9" s="2" t="str">
        <f>IFERROR(__xludf.DUMMYFUNCTION("""COMPUTED_VALUE"""),"W-0516 NYCO Mechanical Stretch - MCBlack - ")</f>
        <v>W-0516 NYCO Mechanical Stretch - MCBlack - </v>
      </c>
      <c r="F9" s="2" t="str">
        <f>IFERROR(__xludf.DUMMYFUNCTION("""COMPUTED_VALUE"""),"VTX - MC - ")</f>
        <v>VTX - MC - </v>
      </c>
    </row>
    <row r="10">
      <c r="A10" s="2"/>
      <c r="B10" s="2"/>
      <c r="C10" s="2" t="str">
        <f t="shared" si="1"/>
        <v> </v>
      </c>
      <c r="D10" s="2" t="str">
        <f>IFERROR(__xludf.DUMMYFUNCTION("""COMPUTED_VALUE"""),"W-0936 NYCO Rigid MultiCam(R) TROPIC 9/23/2025 - MCTropic - 25008248")</f>
        <v>W-0936 NYCO Rigid MultiCam(R) TROPIC 9/23/2025 - MCTropic - 25008248</v>
      </c>
      <c r="E10" s="2" t="str">
        <f>IFERROR(__xludf.DUMMYFUNCTION("""COMPUTED_VALUE"""),"W-0837 (50/50 NYCO 6.5 Oz) - MC - ")</f>
        <v>W-0837 (50/50 NYCO 6.5 Oz) - MC - </v>
      </c>
      <c r="F10" s="2" t="str">
        <f>IFERROR(__xludf.DUMMYFUNCTION("""COMPUTED_VALUE"""),"VTX - MCBlack - ")</f>
        <v>VTX - MCBlack - </v>
      </c>
    </row>
    <row r="11">
      <c r="A11" s="2"/>
      <c r="B11" s="2"/>
      <c r="C11" s="2" t="str">
        <f t="shared" si="1"/>
        <v> </v>
      </c>
      <c r="D11" s="2" t="str">
        <f>IFERROR(__xludf.DUMMYFUNCTION("""COMPUTED_VALUE"""),"W-0936 NYCO Rigid MC - MC - 26000589")</f>
        <v>W-0936 NYCO Rigid MC - MC - 26000589</v>
      </c>
      <c r="E11" s="2" t="str">
        <f>IFERROR(__xludf.DUMMYFUNCTION("""COMPUTED_VALUE"""),"W-0902 (65/35 PC Rip Stop 6.5 Oz) - MC - ")</f>
        <v>W-0902 (65/35 PC Rip Stop 6.5 Oz) - MC - </v>
      </c>
      <c r="F11" s="2" t="str">
        <f>IFERROR(__xludf.DUMMYFUNCTION("""COMPUTED_VALUE"""),"VTX - MCTropic - ")</f>
        <v>VTX - MCTropic - </v>
      </c>
    </row>
    <row r="12">
      <c r="A12" s="2"/>
      <c r="B12" s="2"/>
      <c r="C12" s="2" t="str">
        <f t="shared" si="1"/>
        <v> </v>
      </c>
      <c r="D12" s="2" t="str">
        <f>IFERROR(__xludf.DUMMYFUNCTION("""COMPUTED_VALUE"""),"")</f>
        <v/>
      </c>
      <c r="E12" s="2" t="str">
        <f>IFERROR(__xludf.DUMMYFUNCTION("""COMPUTED_VALUE"""),"500D Cordura (Normal Finish) - MC - ")</f>
        <v>500D Cordura (Normal Finish) - MC - </v>
      </c>
      <c r="F12" s="2" t="str">
        <f>IFERROR(__xludf.DUMMYFUNCTION("""COMPUTED_VALUE"""),"VTX - MCArid - ")</f>
        <v>VTX - MCArid - </v>
      </c>
    </row>
    <row r="13">
      <c r="A13" s="2"/>
      <c r="B13" s="2"/>
      <c r="C13" s="2" t="str">
        <f t="shared" si="1"/>
        <v> </v>
      </c>
      <c r="D13" s="2" t="str">
        <f>IFERROR(__xludf.DUMMYFUNCTION("""COMPUTED_VALUE"""),"")</f>
        <v/>
      </c>
      <c r="E13" s="2" t="str">
        <f>IFERROR(__xludf.DUMMYFUNCTION("""COMPUTED_VALUE"""),"500D Cordura (DWR Finish) - MC - ")</f>
        <v>500D Cordura (DWR Finish) - MC - </v>
      </c>
      <c r="F13" s="2" t="str">
        <f>IFERROR(__xludf.DUMMYFUNCTION("""COMPUTED_VALUE"""),"W-0516 NYCO Mechanical Stretch - MC - ")</f>
        <v>W-0516 NYCO Mechanical Stretch - MC - </v>
      </c>
    </row>
    <row r="14">
      <c r="A14" s="2"/>
      <c r="B14" s="2"/>
      <c r="C14" s="2" t="str">
        <f t="shared" si="1"/>
        <v> </v>
      </c>
      <c r="D14" s="2" t="str">
        <f>IFERROR(__xludf.DUMMYFUNCTION("""COMPUTED_VALUE"""),"")</f>
        <v/>
      </c>
      <c r="E14" s="2" t="str">
        <f>IFERROR(__xludf.DUMMYFUNCTION("""COMPUTED_VALUE"""),"500D Cordura (DWR + Coating Finish) - MC - ")</f>
        <v>500D Cordura (DWR + Coating Finish) - MC - </v>
      </c>
      <c r="F14" s="2" t="str">
        <f>IFERROR(__xludf.DUMMYFUNCTION("""COMPUTED_VALUE"""),"W-0516 NYCO Mechanical Stretch - MCBlack - ")</f>
        <v>W-0516 NYCO Mechanical Stretch - MCBlack - </v>
      </c>
    </row>
    <row r="15">
      <c r="A15" s="2"/>
      <c r="B15" s="2"/>
      <c r="C15" s="2" t="str">
        <f t="shared" si="1"/>
        <v> </v>
      </c>
      <c r="D15" s="2" t="str">
        <f>IFERROR(__xludf.DUMMYFUNCTION("""COMPUTED_VALUE"""),"")</f>
        <v/>
      </c>
      <c r="E15" s="2" t="str">
        <f>IFERROR(__xludf.DUMMYFUNCTION("""COMPUTED_VALUE"""),"W-0867 - Heavier NYCO Stretch (6.5Oz Rip Stop) - MC - ")</f>
        <v>W-0867 - Heavier NYCO Stretch (6.5Oz Rip Stop) - MC - </v>
      </c>
      <c r="F15" s="2" t="str">
        <f>IFERROR(__xludf.DUMMYFUNCTION("""COMPUTED_VALUE"""),"W-0837 (50/50 NYCO 6.5 Oz) - MC - ")</f>
        <v>W-0837 (50/50 NYCO 6.5 Oz) - MC - </v>
      </c>
    </row>
    <row r="16">
      <c r="A16" s="2"/>
      <c r="B16" s="2"/>
      <c r="C16" s="2" t="str">
        <f t="shared" si="1"/>
        <v> </v>
      </c>
      <c r="D16" s="2" t="str">
        <f>IFERROR(__xludf.DUMMYFUNCTION("""COMPUTED_VALUE"""),"")</f>
        <v/>
      </c>
      <c r="E16" s="2" t="str">
        <f>IFERROR(__xludf.DUMMYFUNCTION("""COMPUTED_VALUE"""),"W-0516 NYCO Mechanical Stretch - MCTropic - PD-23006673")</f>
        <v>W-0516 NYCO Mechanical Stretch - MCTropic - PD-23006673</v>
      </c>
      <c r="F16" s="2" t="str">
        <f>IFERROR(__xludf.DUMMYFUNCTION("""COMPUTED_VALUE"""),"W-0902 (65/35 PC Rip Stop 6.5 Oz) - MC - ")</f>
        <v>W-0902 (65/35 PC Rip Stop 6.5 Oz) - MC - </v>
      </c>
    </row>
    <row r="17">
      <c r="A17" s="2"/>
      <c r="B17" s="2"/>
      <c r="C17" s="2" t="str">
        <f t="shared" si="1"/>
        <v> </v>
      </c>
      <c r="D17" s="2" t="str">
        <f>IFERROR(__xludf.DUMMYFUNCTION("""COMPUTED_VALUE"""),"")</f>
        <v/>
      </c>
      <c r="E17" s="2" t="str">
        <f>IFERROR(__xludf.DUMMYFUNCTION("""COMPUTED_VALUE"""),"")</f>
        <v/>
      </c>
      <c r="F17" s="2" t="str">
        <f>IFERROR(__xludf.DUMMYFUNCTION("""COMPUTED_VALUE"""),"500D Cordura (Normal Finish) - MC - ")</f>
        <v>500D Cordura (Normal Finish) - MC - </v>
      </c>
    </row>
    <row r="18">
      <c r="A18" s="2"/>
      <c r="B18" s="2"/>
      <c r="C18" s="2" t="str">
        <f t="shared" si="1"/>
        <v> </v>
      </c>
      <c r="D18" s="2" t="str">
        <f>IFERROR(__xludf.DUMMYFUNCTION("""COMPUTED_VALUE"""),"")</f>
        <v/>
      </c>
      <c r="E18" s="2" t="str">
        <f>IFERROR(__xludf.DUMMYFUNCTION("""COMPUTED_VALUE"""),"")</f>
        <v/>
      </c>
      <c r="F18" s="2" t="str">
        <f>IFERROR(__xludf.DUMMYFUNCTION("""COMPUTED_VALUE"""),"500D Cordura (DWR Finish) - MC - ")</f>
        <v>500D Cordura (DWR Finish) - MC - </v>
      </c>
    </row>
    <row r="19">
      <c r="A19" s="2"/>
      <c r="B19" s="2"/>
      <c r="C19" s="2" t="str">
        <f t="shared" si="1"/>
        <v> </v>
      </c>
      <c r="D19" s="2" t="str">
        <f>IFERROR(__xludf.DUMMYFUNCTION("""COMPUTED_VALUE"""),"")</f>
        <v/>
      </c>
      <c r="E19" s="2" t="str">
        <f>IFERROR(__xludf.DUMMYFUNCTION("""COMPUTED_VALUE"""),"")</f>
        <v/>
      </c>
      <c r="F19" s="2" t="str">
        <f>IFERROR(__xludf.DUMMYFUNCTION("""COMPUTED_VALUE"""),"500D Cordura (DWR + Coating Finish) - MC - ")</f>
        <v>500D Cordura (DWR + Coating Finish) - MC - </v>
      </c>
    </row>
    <row r="20">
      <c r="A20" s="2"/>
      <c r="B20" s="2"/>
      <c r="C20" s="2" t="str">
        <f t="shared" si="1"/>
        <v> </v>
      </c>
      <c r="D20" s="2" t="str">
        <f>IFERROR(__xludf.DUMMYFUNCTION("""COMPUTED_VALUE"""),"")</f>
        <v/>
      </c>
      <c r="E20" s="2" t="str">
        <f>IFERROR(__xludf.DUMMYFUNCTION("""COMPUTED_VALUE"""),"W-1128 - MC - 25008244")</f>
        <v>W-1128 - MC - 25008244</v>
      </c>
      <c r="F20" s="2" t="str">
        <f>IFERROR(__xludf.DUMMYFUNCTION("""COMPUTED_VALUE"""),"W-0867 - Heavier NYCO Stretch (6.5Oz Rip Stop) - MC - ")</f>
        <v>W-0867 - Heavier NYCO Stretch (6.5Oz Rip Stop) - MC - </v>
      </c>
    </row>
    <row r="21">
      <c r="A21" s="2"/>
      <c r="B21" s="2"/>
      <c r="C21" s="2" t="str">
        <f t="shared" si="1"/>
        <v> </v>
      </c>
      <c r="D21" s="2" t="str">
        <f>IFERROR(__xludf.DUMMYFUNCTION("""COMPUTED_VALUE"""),"")</f>
        <v/>
      </c>
      <c r="E21" s="2" t="str">
        <f>IFERROR(__xludf.DUMMYFUNCTION("""COMPUTED_VALUE"""),"")</f>
        <v/>
      </c>
      <c r="F21" s="2" t="str">
        <f>IFERROR(__xludf.DUMMYFUNCTION("""COMPUTED_VALUE"""),"W-0516 NYCO Mechanical Stretch - MCTropic - PD-23006673")</f>
        <v>W-0516 NYCO Mechanical Stretch - MCTropic - PD-23006673</v>
      </c>
    </row>
    <row r="22">
      <c r="A22" s="2"/>
      <c r="B22" s="2"/>
      <c r="C22" s="2" t="str">
        <f t="shared" si="1"/>
        <v> </v>
      </c>
      <c r="D22" s="2" t="str">
        <f>IFERROR(__xludf.DUMMYFUNCTION("""COMPUTED_VALUE"""),"")</f>
        <v/>
      </c>
      <c r="E22" s="2" t="str">
        <f>IFERROR(__xludf.DUMMYFUNCTION("""COMPUTED_VALUE"""),"")</f>
        <v/>
      </c>
      <c r="F22" s="2" t="str">
        <f>IFERROR(__xludf.DUMMYFUNCTION("""COMPUTED_VALUE"""),"W-1128 - MC - 25008244")</f>
        <v>W-1128 - MC - 25008244</v>
      </c>
    </row>
    <row r="23">
      <c r="A23" s="2"/>
      <c r="B23" s="2"/>
      <c r="C23" s="2" t="str">
        <f t="shared" si="1"/>
        <v> </v>
      </c>
      <c r="D23" s="2" t="str">
        <f>IFERROR(__xludf.DUMMYFUNCTION("""COMPUTED_VALUE"""),"")</f>
        <v/>
      </c>
      <c r="E23" s="2" t="str">
        <f>IFERROR(__xludf.DUMMYFUNCTION("""COMPUTED_VALUE"""),"")</f>
        <v/>
      </c>
    </row>
    <row r="24">
      <c r="A24" s="2"/>
      <c r="B24" s="2"/>
      <c r="C24" s="2" t="str">
        <f t="shared" si="1"/>
        <v> </v>
      </c>
      <c r="D24" s="2" t="str">
        <f>IFERROR(__xludf.DUMMYFUNCTION("""COMPUTED_VALUE"""),"")</f>
        <v/>
      </c>
      <c r="E24" s="2" t="str">
        <f>IFERROR(__xludf.DUMMYFUNCTION("""COMPUTED_VALUE"""),"")</f>
        <v/>
      </c>
    </row>
    <row r="25">
      <c r="A25" s="2"/>
      <c r="B25" s="2"/>
      <c r="C25" s="2" t="str">
        <f t="shared" si="1"/>
        <v> </v>
      </c>
      <c r="D25" s="2" t="str">
        <f>IFERROR(__xludf.DUMMYFUNCTION("""COMPUTED_VALUE"""),"")</f>
        <v/>
      </c>
      <c r="E25" s="2" t="str">
        <f>IFERROR(__xludf.DUMMYFUNCTION("""COMPUTED_VALUE"""),"")</f>
        <v/>
      </c>
    </row>
    <row r="26">
      <c r="A26" s="2"/>
      <c r="B26" s="2"/>
      <c r="C26" s="2" t="str">
        <f t="shared" si="1"/>
        <v> </v>
      </c>
      <c r="D26" s="2" t="str">
        <f>IFERROR(__xludf.DUMMYFUNCTION("""COMPUTED_VALUE"""),"")</f>
        <v/>
      </c>
      <c r="E26" s="2" t="str">
        <f>IFERROR(__xludf.DUMMYFUNCTION("""COMPUTED_VALUE"""),"")</f>
        <v/>
      </c>
    </row>
    <row r="27">
      <c r="A27" s="2"/>
      <c r="B27" s="2"/>
      <c r="C27" s="2" t="str">
        <f t="shared" si="1"/>
        <v> </v>
      </c>
      <c r="D27" s="2" t="str">
        <f>IFERROR(__xludf.DUMMYFUNCTION("""COMPUTED_VALUE"""),"")</f>
        <v/>
      </c>
      <c r="E27" s="2" t="str">
        <f>IFERROR(__xludf.DUMMYFUNCTION("""COMPUTED_VALUE"""),"")</f>
        <v/>
      </c>
    </row>
    <row r="28">
      <c r="A28" s="2"/>
      <c r="B28" s="2"/>
      <c r="C28" s="2" t="str">
        <f t="shared" si="1"/>
        <v> </v>
      </c>
      <c r="D28" s="2" t="str">
        <f>IFERROR(__xludf.DUMMYFUNCTION("""COMPUTED_VALUE"""),"")</f>
        <v/>
      </c>
      <c r="E28" s="2" t="str">
        <f>IFERROR(__xludf.DUMMYFUNCTION("""COMPUTED_VALUE"""),"")</f>
        <v/>
      </c>
    </row>
    <row r="29">
      <c r="A29" s="2"/>
      <c r="B29" s="2"/>
      <c r="C29" s="2" t="str">
        <f t="shared" si="1"/>
        <v> </v>
      </c>
      <c r="D29" s="2" t="str">
        <f>IFERROR(__xludf.DUMMYFUNCTION("""COMPUTED_VALUE"""),"")</f>
        <v/>
      </c>
      <c r="E29" s="2" t="str">
        <f>IFERROR(__xludf.DUMMYFUNCTION("""COMPUTED_VALUE"""),"")</f>
        <v/>
      </c>
    </row>
    <row r="30">
      <c r="A30" s="2"/>
      <c r="B30" s="2"/>
      <c r="C30" s="2" t="str">
        <f t="shared" si="1"/>
        <v> </v>
      </c>
      <c r="D30" s="2" t="str">
        <f>IFERROR(__xludf.DUMMYFUNCTION("""COMPUTED_VALUE"""),"")</f>
        <v/>
      </c>
      <c r="E30" s="2" t="str">
        <f>IFERROR(__xludf.DUMMYFUNCTION("""COMPUTED_VALUE"""),"")</f>
        <v/>
      </c>
    </row>
    <row r="31">
      <c r="A31" s="2"/>
      <c r="B31" s="2"/>
      <c r="C31" s="2" t="str">
        <f t="shared" si="1"/>
        <v> </v>
      </c>
      <c r="D31" s="2" t="str">
        <f>IFERROR(__xludf.DUMMYFUNCTION("""COMPUTED_VALUE"""),"")</f>
        <v/>
      </c>
      <c r="E31" s="2" t="str">
        <f>IFERROR(__xludf.DUMMYFUNCTION("""COMPUTED_VALUE"""),"")</f>
        <v/>
      </c>
    </row>
    <row r="32">
      <c r="A32" s="2"/>
      <c r="B32" s="2"/>
      <c r="C32" s="2" t="str">
        <f t="shared" si="1"/>
        <v> </v>
      </c>
      <c r="D32" s="2" t="str">
        <f>IFERROR(__xludf.DUMMYFUNCTION("""COMPUTED_VALUE"""),"")</f>
        <v/>
      </c>
      <c r="E32" s="2" t="str">
        <f>IFERROR(__xludf.DUMMYFUNCTION("""COMPUTED_VALUE"""),"")</f>
        <v/>
      </c>
    </row>
    <row r="33">
      <c r="A33" s="2"/>
      <c r="B33" s="2"/>
      <c r="C33" s="2" t="str">
        <f t="shared" si="1"/>
        <v> </v>
      </c>
      <c r="D33" s="2" t="str">
        <f>IFERROR(__xludf.DUMMYFUNCTION("""COMPUTED_VALUE"""),"")</f>
        <v/>
      </c>
      <c r="E33" s="2" t="str">
        <f>IFERROR(__xludf.DUMMYFUNCTION("""COMPUTED_VALUE"""),"")</f>
        <v/>
      </c>
    </row>
    <row r="34">
      <c r="A34" s="2"/>
      <c r="B34" s="2"/>
      <c r="C34" s="2" t="str">
        <f t="shared" si="1"/>
        <v> </v>
      </c>
      <c r="D34" s="2" t="str">
        <f>IFERROR(__xludf.DUMMYFUNCTION("""COMPUTED_VALUE"""),"")</f>
        <v/>
      </c>
      <c r="E34" s="2" t="str">
        <f>IFERROR(__xludf.DUMMYFUNCTION("""COMPUTED_VALUE"""),"")</f>
        <v/>
      </c>
    </row>
    <row r="35">
      <c r="A35" s="2"/>
      <c r="B35" s="2"/>
      <c r="C35" s="2" t="str">
        <f t="shared" si="1"/>
        <v> </v>
      </c>
      <c r="D35" s="2" t="str">
        <f>IFERROR(__xludf.DUMMYFUNCTION("""COMPUTED_VALUE"""),"")</f>
        <v/>
      </c>
      <c r="E35" s="2" t="str">
        <f>IFERROR(__xludf.DUMMYFUNCTION("""COMPUTED_VALUE"""),"")</f>
        <v/>
      </c>
    </row>
    <row r="36">
      <c r="A36" s="2"/>
      <c r="B36" s="2"/>
      <c r="C36" s="2" t="str">
        <f t="shared" si="1"/>
        <v> </v>
      </c>
      <c r="D36" s="2" t="str">
        <f>IFERROR(__xludf.DUMMYFUNCTION("""COMPUTED_VALUE"""),"")</f>
        <v/>
      </c>
      <c r="E36" s="2" t="str">
        <f>IFERROR(__xludf.DUMMYFUNCTION("""COMPUTED_VALUE"""),"")</f>
        <v/>
      </c>
    </row>
    <row r="37">
      <c r="A37" s="2"/>
      <c r="B37" s="2"/>
      <c r="C37" s="2" t="str">
        <f t="shared" si="1"/>
        <v> </v>
      </c>
      <c r="D37" s="2" t="str">
        <f>IFERROR(__xludf.DUMMYFUNCTION("""COMPUTED_VALUE"""),"")</f>
        <v/>
      </c>
      <c r="E37" s="2" t="str">
        <f>IFERROR(__xludf.DUMMYFUNCTION("""COMPUTED_VALUE"""),"")</f>
        <v/>
      </c>
    </row>
    <row r="38">
      <c r="A38" s="2"/>
      <c r="B38" s="2"/>
      <c r="C38" s="2" t="str">
        <f t="shared" si="1"/>
        <v> </v>
      </c>
      <c r="D38" s="2" t="str">
        <f>IFERROR(__xludf.DUMMYFUNCTION("""COMPUTED_VALUE"""),"")</f>
        <v/>
      </c>
      <c r="E38" s="2" t="str">
        <f>IFERROR(__xludf.DUMMYFUNCTION("""COMPUTED_VALUE"""),"")</f>
        <v/>
      </c>
    </row>
    <row r="39">
      <c r="A39" s="2"/>
      <c r="B39" s="2"/>
      <c r="C39" s="2" t="str">
        <f t="shared" si="1"/>
        <v> </v>
      </c>
      <c r="D39" s="2" t="str">
        <f>IFERROR(__xludf.DUMMYFUNCTION("""COMPUTED_VALUE"""),"")</f>
        <v/>
      </c>
      <c r="E39" s="2" t="str">
        <f>IFERROR(__xludf.DUMMYFUNCTION("""COMPUTED_VALUE"""),"")</f>
        <v/>
      </c>
    </row>
    <row r="40">
      <c r="A40" s="2"/>
      <c r="B40" s="2"/>
      <c r="C40" s="2" t="str">
        <f t="shared" si="1"/>
        <v> </v>
      </c>
      <c r="D40" s="2" t="str">
        <f>IFERROR(__xludf.DUMMYFUNCTION("""COMPUTED_VALUE"""),"")</f>
        <v/>
      </c>
      <c r="E40" s="2" t="str">
        <f>IFERROR(__xludf.DUMMYFUNCTION("""COMPUTED_VALUE"""),"")</f>
        <v/>
      </c>
    </row>
    <row r="41">
      <c r="A41" s="2"/>
      <c r="B41" s="2"/>
      <c r="C41" s="2" t="str">
        <f t="shared" si="1"/>
        <v> </v>
      </c>
      <c r="D41" s="2" t="str">
        <f>IFERROR(__xludf.DUMMYFUNCTION("""COMPUTED_VALUE"""),"")</f>
        <v/>
      </c>
      <c r="E41" s="2" t="str">
        <f>IFERROR(__xludf.DUMMYFUNCTION("""COMPUTED_VALUE"""),"")</f>
        <v/>
      </c>
    </row>
    <row r="42">
      <c r="A42" s="2"/>
      <c r="B42" s="2"/>
      <c r="C42" s="2" t="str">
        <f t="shared" si="1"/>
        <v> </v>
      </c>
      <c r="D42" s="2" t="str">
        <f>IFERROR(__xludf.DUMMYFUNCTION("""COMPUTED_VALUE"""),"")</f>
        <v/>
      </c>
      <c r="E42" s="2" t="str">
        <f>IFERROR(__xludf.DUMMYFUNCTION("""COMPUTED_VALUE"""),"")</f>
        <v/>
      </c>
    </row>
    <row r="43">
      <c r="A43" s="2"/>
      <c r="B43" s="2"/>
      <c r="C43" s="2" t="str">
        <f t="shared" si="1"/>
        <v> </v>
      </c>
      <c r="D43" s="2" t="str">
        <f>IFERROR(__xludf.DUMMYFUNCTION("""COMPUTED_VALUE"""),"")</f>
        <v/>
      </c>
      <c r="E43" s="2" t="str">
        <f>IFERROR(__xludf.DUMMYFUNCTION("""COMPUTED_VALUE"""),"")</f>
        <v/>
      </c>
    </row>
    <row r="44">
      <c r="A44" s="2"/>
      <c r="B44" s="2"/>
      <c r="C44" s="2" t="str">
        <f t="shared" si="1"/>
        <v> </v>
      </c>
      <c r="D44" s="2" t="str">
        <f>IFERROR(__xludf.DUMMYFUNCTION("""COMPUTED_VALUE"""),"")</f>
        <v/>
      </c>
      <c r="E44" s="2" t="str">
        <f>IFERROR(__xludf.DUMMYFUNCTION("""COMPUTED_VALUE"""),"")</f>
        <v/>
      </c>
    </row>
    <row r="45">
      <c r="A45" s="2"/>
      <c r="B45" s="2"/>
      <c r="C45" s="2" t="str">
        <f t="shared" si="1"/>
        <v> </v>
      </c>
      <c r="D45" s="2" t="str">
        <f>IFERROR(__xludf.DUMMYFUNCTION("""COMPUTED_VALUE"""),"")</f>
        <v/>
      </c>
      <c r="E45" s="2" t="str">
        <f>IFERROR(__xludf.DUMMYFUNCTION("""COMPUTED_VALUE"""),"")</f>
        <v/>
      </c>
    </row>
    <row r="46">
      <c r="A46" s="2"/>
      <c r="B46" s="2"/>
      <c r="C46" s="2" t="str">
        <f t="shared" si="1"/>
        <v> </v>
      </c>
      <c r="D46" s="2" t="str">
        <f>IFERROR(__xludf.DUMMYFUNCTION("""COMPUTED_VALUE"""),"")</f>
        <v/>
      </c>
      <c r="E46" s="2" t="str">
        <f>IFERROR(__xludf.DUMMYFUNCTION("""COMPUTED_VALUE"""),"")</f>
        <v/>
      </c>
    </row>
    <row r="47">
      <c r="A47" s="2"/>
      <c r="B47" s="2"/>
      <c r="C47" s="2" t="str">
        <f t="shared" si="1"/>
        <v> </v>
      </c>
      <c r="D47" s="2" t="str">
        <f>IFERROR(__xludf.DUMMYFUNCTION("""COMPUTED_VALUE"""),"")</f>
        <v/>
      </c>
      <c r="E47" s="2" t="str">
        <f>IFERROR(__xludf.DUMMYFUNCTION("""COMPUTED_VALUE"""),"")</f>
        <v/>
      </c>
    </row>
    <row r="48">
      <c r="A48" s="2"/>
      <c r="B48" s="2"/>
      <c r="C48" s="2" t="str">
        <f t="shared" si="1"/>
        <v> </v>
      </c>
      <c r="D48" s="2" t="str">
        <f>IFERROR(__xludf.DUMMYFUNCTION("""COMPUTED_VALUE"""),"")</f>
        <v/>
      </c>
      <c r="E48" s="2" t="str">
        <f>IFERROR(__xludf.DUMMYFUNCTION("""COMPUTED_VALUE"""),"")</f>
        <v/>
      </c>
    </row>
    <row r="49">
      <c r="A49" s="2"/>
      <c r="B49" s="2"/>
      <c r="C49" s="2" t="str">
        <f t="shared" si="1"/>
        <v> </v>
      </c>
      <c r="D49" s="2" t="str">
        <f>IFERROR(__xludf.DUMMYFUNCTION("""COMPUTED_VALUE"""),"")</f>
        <v/>
      </c>
      <c r="E49" s="2" t="str">
        <f>IFERROR(__xludf.DUMMYFUNCTION("""COMPUTED_VALUE"""),"")</f>
        <v/>
      </c>
    </row>
    <row r="50">
      <c r="A50" s="2"/>
      <c r="B50" s="2"/>
      <c r="C50" s="2" t="str">
        <f t="shared" si="1"/>
        <v> </v>
      </c>
      <c r="D50" s="2" t="str">
        <f>IFERROR(__xludf.DUMMYFUNCTION("""COMPUTED_VALUE"""),"")</f>
        <v/>
      </c>
      <c r="E50" s="2" t="str">
        <f>IFERROR(__xludf.DUMMYFUNCTION("""COMPUTED_VALUE"""),"")</f>
        <v/>
      </c>
    </row>
    <row r="51">
      <c r="A51" s="2"/>
      <c r="B51" s="2"/>
      <c r="C51" s="2" t="str">
        <f t="shared" si="1"/>
        <v> </v>
      </c>
      <c r="D51" s="2" t="str">
        <f>IFERROR(__xludf.DUMMYFUNCTION("""COMPUTED_VALUE"""),"")</f>
        <v/>
      </c>
      <c r="E51" s="2" t="str">
        <f>IFERROR(__xludf.DUMMYFUNCTION("""COMPUTED_VALUE"""),"")</f>
        <v/>
      </c>
    </row>
    <row r="52">
      <c r="A52" s="2"/>
      <c r="B52" s="2"/>
      <c r="C52" s="2" t="str">
        <f t="shared" si="1"/>
        <v> </v>
      </c>
      <c r="D52" s="2" t="str">
        <f>IFERROR(__xludf.DUMMYFUNCTION("""COMPUTED_VALUE"""),"")</f>
        <v/>
      </c>
      <c r="E52" s="2" t="str">
        <f>IFERROR(__xludf.DUMMYFUNCTION("""COMPUTED_VALUE"""),"")</f>
        <v/>
      </c>
    </row>
    <row r="53">
      <c r="A53" s="2"/>
      <c r="B53" s="2"/>
      <c r="C53" s="2" t="str">
        <f t="shared" si="1"/>
        <v> </v>
      </c>
      <c r="D53" s="2" t="str">
        <f>IFERROR(__xludf.DUMMYFUNCTION("""COMPUTED_VALUE"""),"")</f>
        <v/>
      </c>
      <c r="E53" s="2" t="str">
        <f>IFERROR(__xludf.DUMMYFUNCTION("""COMPUTED_VALUE"""),"")</f>
        <v/>
      </c>
    </row>
    <row r="54">
      <c r="A54" s="2"/>
      <c r="B54" s="2"/>
      <c r="C54" s="2" t="str">
        <f t="shared" si="1"/>
        <v> </v>
      </c>
      <c r="D54" s="2" t="str">
        <f>IFERROR(__xludf.DUMMYFUNCTION("""COMPUTED_VALUE"""),"")</f>
        <v/>
      </c>
      <c r="E54" s="2" t="str">
        <f>IFERROR(__xludf.DUMMYFUNCTION("""COMPUTED_VALUE"""),"")</f>
        <v/>
      </c>
    </row>
    <row r="55">
      <c r="A55" s="2"/>
      <c r="B55" s="2"/>
      <c r="C55" s="2" t="str">
        <f t="shared" si="1"/>
        <v> </v>
      </c>
      <c r="D55" s="2" t="str">
        <f>IFERROR(__xludf.DUMMYFUNCTION("""COMPUTED_VALUE"""),"")</f>
        <v/>
      </c>
      <c r="E55" s="2" t="str">
        <f>IFERROR(__xludf.DUMMYFUNCTION("""COMPUTED_VALUE"""),"")</f>
        <v/>
      </c>
    </row>
    <row r="56">
      <c r="A56" s="2"/>
      <c r="B56" s="2"/>
      <c r="C56" s="2" t="str">
        <f t="shared" si="1"/>
        <v> </v>
      </c>
      <c r="D56" s="2" t="str">
        <f>IFERROR(__xludf.DUMMYFUNCTION("""COMPUTED_VALUE"""),"")</f>
        <v/>
      </c>
      <c r="E56" s="2" t="str">
        <f>IFERROR(__xludf.DUMMYFUNCTION("""COMPUTED_VALUE"""),"")</f>
        <v/>
      </c>
    </row>
    <row r="57">
      <c r="A57" s="2"/>
      <c r="B57" s="2"/>
      <c r="C57" s="2" t="str">
        <f t="shared" si="1"/>
        <v> </v>
      </c>
      <c r="D57" s="2" t="str">
        <f>IFERROR(__xludf.DUMMYFUNCTION("""COMPUTED_VALUE"""),"")</f>
        <v/>
      </c>
      <c r="E57" s="2" t="str">
        <f>IFERROR(__xludf.DUMMYFUNCTION("""COMPUTED_VALUE"""),"")</f>
        <v/>
      </c>
    </row>
    <row r="58">
      <c r="A58" s="2"/>
      <c r="B58" s="2"/>
      <c r="C58" s="2" t="str">
        <f t="shared" si="1"/>
        <v> </v>
      </c>
      <c r="D58" s="2" t="str">
        <f>IFERROR(__xludf.DUMMYFUNCTION("""COMPUTED_VALUE"""),"")</f>
        <v/>
      </c>
      <c r="E58" s="2" t="str">
        <f>IFERROR(__xludf.DUMMYFUNCTION("""COMPUTED_VALUE"""),"")</f>
        <v/>
      </c>
    </row>
    <row r="59">
      <c r="A59" s="2"/>
      <c r="B59" s="2"/>
      <c r="C59" s="2" t="str">
        <f t="shared" si="1"/>
        <v> </v>
      </c>
      <c r="D59" s="2" t="str">
        <f>IFERROR(__xludf.DUMMYFUNCTION("""COMPUTED_VALUE"""),"")</f>
        <v/>
      </c>
      <c r="E59" s="2" t="str">
        <f>IFERROR(__xludf.DUMMYFUNCTION("""COMPUTED_VALUE"""),"")</f>
        <v/>
      </c>
    </row>
    <row r="60">
      <c r="A60" s="2"/>
      <c r="B60" s="2"/>
      <c r="C60" s="2" t="str">
        <f t="shared" si="1"/>
        <v> </v>
      </c>
      <c r="D60" s="2" t="str">
        <f>IFERROR(__xludf.DUMMYFUNCTION("""COMPUTED_VALUE"""),"")</f>
        <v/>
      </c>
      <c r="E60" s="2" t="str">
        <f>IFERROR(__xludf.DUMMYFUNCTION("""COMPUTED_VALUE"""),"")</f>
        <v/>
      </c>
    </row>
    <row r="61">
      <c r="A61" s="2"/>
      <c r="B61" s="2"/>
      <c r="C61" s="2" t="str">
        <f t="shared" si="1"/>
        <v> </v>
      </c>
      <c r="D61" s="2" t="str">
        <f>IFERROR(__xludf.DUMMYFUNCTION("""COMPUTED_VALUE"""),"")</f>
        <v/>
      </c>
      <c r="E61" s="2" t="str">
        <f>IFERROR(__xludf.DUMMYFUNCTION("""COMPUTED_VALUE"""),"")</f>
        <v/>
      </c>
    </row>
    <row r="62">
      <c r="A62" s="2"/>
      <c r="B62" s="2"/>
      <c r="C62" s="2" t="str">
        <f t="shared" si="1"/>
        <v> </v>
      </c>
      <c r="D62" s="2" t="str">
        <f>IFERROR(__xludf.DUMMYFUNCTION("""COMPUTED_VALUE"""),"")</f>
        <v/>
      </c>
      <c r="E62" s="2" t="str">
        <f>IFERROR(__xludf.DUMMYFUNCTION("""COMPUTED_VALUE"""),"")</f>
        <v/>
      </c>
    </row>
    <row r="63">
      <c r="A63" s="2"/>
      <c r="B63" s="2"/>
      <c r="C63" s="2" t="str">
        <f t="shared" si="1"/>
        <v> </v>
      </c>
      <c r="D63" s="2" t="str">
        <f>IFERROR(__xludf.DUMMYFUNCTION("""COMPUTED_VALUE"""),"")</f>
        <v/>
      </c>
      <c r="E63" s="2" t="str">
        <f>IFERROR(__xludf.DUMMYFUNCTION("""COMPUTED_VALUE"""),"")</f>
        <v/>
      </c>
    </row>
    <row r="64">
      <c r="A64" s="2"/>
      <c r="B64" s="2"/>
      <c r="C64" s="2" t="str">
        <f t="shared" si="1"/>
        <v> </v>
      </c>
      <c r="D64" s="2" t="str">
        <f>IFERROR(__xludf.DUMMYFUNCTION("""COMPUTED_VALUE"""),"")</f>
        <v/>
      </c>
      <c r="E64" s="2" t="str">
        <f>IFERROR(__xludf.DUMMYFUNCTION("""COMPUTED_VALUE"""),"")</f>
        <v/>
      </c>
    </row>
    <row r="65">
      <c r="A65" s="2"/>
      <c r="B65" s="2"/>
      <c r="C65" s="2" t="str">
        <f t="shared" si="1"/>
        <v> </v>
      </c>
      <c r="D65" s="2" t="str">
        <f>IFERROR(__xludf.DUMMYFUNCTION("""COMPUTED_VALUE"""),"")</f>
        <v/>
      </c>
      <c r="E65" s="2" t="str">
        <f>IFERROR(__xludf.DUMMYFUNCTION("""COMPUTED_VALUE"""),"")</f>
        <v/>
      </c>
    </row>
    <row r="66">
      <c r="A66" s="2"/>
      <c r="B66" s="2"/>
      <c r="C66" s="2" t="str">
        <f t="shared" si="1"/>
        <v> </v>
      </c>
      <c r="D66" s="2" t="str">
        <f>IFERROR(__xludf.DUMMYFUNCTION("""COMPUTED_VALUE"""),"")</f>
        <v/>
      </c>
      <c r="E66" s="2" t="str">
        <f>IFERROR(__xludf.DUMMYFUNCTION("""COMPUTED_VALUE"""),"")</f>
        <v/>
      </c>
    </row>
    <row r="67">
      <c r="A67" s="2"/>
      <c r="B67" s="2"/>
      <c r="C67" s="2" t="str">
        <f t="shared" si="1"/>
        <v> </v>
      </c>
      <c r="D67" s="2" t="str">
        <f>IFERROR(__xludf.DUMMYFUNCTION("""COMPUTED_VALUE"""),"")</f>
        <v/>
      </c>
      <c r="E67" s="2" t="str">
        <f>IFERROR(__xludf.DUMMYFUNCTION("""COMPUTED_VALUE"""),"")</f>
        <v/>
      </c>
    </row>
    <row r="68">
      <c r="A68" s="2"/>
      <c r="B68" s="2"/>
      <c r="C68" s="2" t="str">
        <f t="shared" si="1"/>
        <v> </v>
      </c>
      <c r="D68" s="2" t="str">
        <f>IFERROR(__xludf.DUMMYFUNCTION("""COMPUTED_VALUE"""),"")</f>
        <v/>
      </c>
      <c r="E68" s="2" t="str">
        <f>IFERROR(__xludf.DUMMYFUNCTION("""COMPUTED_VALUE"""),"")</f>
        <v/>
      </c>
    </row>
    <row r="69">
      <c r="A69" s="2"/>
      <c r="B69" s="2"/>
      <c r="C69" s="2" t="str">
        <f t="shared" si="1"/>
        <v> </v>
      </c>
      <c r="D69" s="2" t="str">
        <f>IFERROR(__xludf.DUMMYFUNCTION("""COMPUTED_VALUE"""),"")</f>
        <v/>
      </c>
      <c r="E69" s="2" t="str">
        <f>IFERROR(__xludf.DUMMYFUNCTION("""COMPUTED_VALUE"""),"")</f>
        <v/>
      </c>
    </row>
    <row r="70">
      <c r="A70" s="2"/>
      <c r="B70" s="2"/>
      <c r="C70" s="2" t="str">
        <f t="shared" si="1"/>
        <v> </v>
      </c>
      <c r="D70" s="2" t="str">
        <f>IFERROR(__xludf.DUMMYFUNCTION("""COMPUTED_VALUE"""),"")</f>
        <v/>
      </c>
      <c r="E70" s="2" t="str">
        <f>IFERROR(__xludf.DUMMYFUNCTION("""COMPUTED_VALUE"""),"")</f>
        <v/>
      </c>
    </row>
    <row r="71">
      <c r="A71" s="2"/>
      <c r="B71" s="2"/>
      <c r="C71" s="2" t="str">
        <f t="shared" si="1"/>
        <v> </v>
      </c>
      <c r="D71" s="2" t="str">
        <f>IFERROR(__xludf.DUMMYFUNCTION("""COMPUTED_VALUE"""),"")</f>
        <v/>
      </c>
      <c r="E71" s="2" t="str">
        <f>IFERROR(__xludf.DUMMYFUNCTION("""COMPUTED_VALUE"""),"")</f>
        <v/>
      </c>
    </row>
    <row r="72">
      <c r="A72" s="2"/>
      <c r="B72" s="2"/>
      <c r="C72" s="2" t="str">
        <f t="shared" si="1"/>
        <v> </v>
      </c>
      <c r="D72" s="2" t="str">
        <f>IFERROR(__xludf.DUMMYFUNCTION("""COMPUTED_VALUE"""),"")</f>
        <v/>
      </c>
      <c r="E72" s="2" t="str">
        <f>IFERROR(__xludf.DUMMYFUNCTION("""COMPUTED_VALUE"""),"")</f>
        <v/>
      </c>
    </row>
    <row r="73">
      <c r="A73" s="2"/>
      <c r="B73" s="2"/>
      <c r="C73" s="2" t="str">
        <f t="shared" si="1"/>
        <v> </v>
      </c>
      <c r="D73" s="2" t="str">
        <f>IFERROR(__xludf.DUMMYFUNCTION("""COMPUTED_VALUE"""),"")</f>
        <v/>
      </c>
      <c r="E73" s="2" t="str">
        <f>IFERROR(__xludf.DUMMYFUNCTION("""COMPUTED_VALUE"""),"")</f>
        <v/>
      </c>
    </row>
    <row r="74">
      <c r="A74" s="2"/>
      <c r="B74" s="2"/>
      <c r="C74" s="2" t="str">
        <f t="shared" si="1"/>
        <v> </v>
      </c>
      <c r="D74" s="2" t="str">
        <f>IFERROR(__xludf.DUMMYFUNCTION("""COMPUTED_VALUE"""),"")</f>
        <v/>
      </c>
      <c r="E74" s="2" t="str">
        <f>IFERROR(__xludf.DUMMYFUNCTION("""COMPUTED_VALUE"""),"")</f>
        <v/>
      </c>
    </row>
    <row r="75">
      <c r="A75" s="2"/>
      <c r="B75" s="2"/>
      <c r="C75" s="2" t="str">
        <f t="shared" si="1"/>
        <v> </v>
      </c>
      <c r="D75" s="2" t="str">
        <f>IFERROR(__xludf.DUMMYFUNCTION("""COMPUTED_VALUE"""),"")</f>
        <v/>
      </c>
      <c r="E75" s="2" t="str">
        <f>IFERROR(__xludf.DUMMYFUNCTION("""COMPUTED_VALUE"""),"")</f>
        <v/>
      </c>
    </row>
    <row r="76">
      <c r="A76" s="2"/>
      <c r="B76" s="2"/>
      <c r="C76" s="2" t="str">
        <f t="shared" si="1"/>
        <v> </v>
      </c>
      <c r="D76" s="2" t="str">
        <f>IFERROR(__xludf.DUMMYFUNCTION("""COMPUTED_VALUE"""),"")</f>
        <v/>
      </c>
      <c r="E76" s="2" t="str">
        <f>IFERROR(__xludf.DUMMYFUNCTION("""COMPUTED_VALUE"""),"")</f>
        <v/>
      </c>
    </row>
    <row r="77">
      <c r="A77" s="2"/>
      <c r="B77" s="2"/>
      <c r="C77" s="2" t="str">
        <f t="shared" si="1"/>
        <v> </v>
      </c>
      <c r="D77" s="2" t="str">
        <f>IFERROR(__xludf.DUMMYFUNCTION("""COMPUTED_VALUE"""),"")</f>
        <v/>
      </c>
      <c r="E77" s="2" t="str">
        <f>IFERROR(__xludf.DUMMYFUNCTION("""COMPUTED_VALUE"""),"")</f>
        <v/>
      </c>
    </row>
    <row r="78">
      <c r="A78" s="2"/>
      <c r="B78" s="2"/>
      <c r="C78" s="2" t="str">
        <f t="shared" si="1"/>
        <v> </v>
      </c>
      <c r="D78" s="2" t="str">
        <f>IFERROR(__xludf.DUMMYFUNCTION("""COMPUTED_VALUE"""),"")</f>
        <v/>
      </c>
      <c r="E78" s="2" t="str">
        <f>IFERROR(__xludf.DUMMYFUNCTION("""COMPUTED_VALUE"""),"")</f>
        <v/>
      </c>
    </row>
    <row r="79">
      <c r="A79" s="2"/>
      <c r="B79" s="2"/>
      <c r="C79" s="2" t="str">
        <f t="shared" si="1"/>
        <v> </v>
      </c>
      <c r="D79" s="2" t="str">
        <f>IFERROR(__xludf.DUMMYFUNCTION("""COMPUTED_VALUE"""),"")</f>
        <v/>
      </c>
      <c r="E79" s="2" t="str">
        <f>IFERROR(__xludf.DUMMYFUNCTION("""COMPUTED_VALUE"""),"")</f>
        <v/>
      </c>
    </row>
    <row r="80">
      <c r="A80" s="2"/>
      <c r="B80" s="2"/>
      <c r="C80" s="2" t="str">
        <f t="shared" si="1"/>
        <v> </v>
      </c>
      <c r="D80" s="2" t="str">
        <f>IFERROR(__xludf.DUMMYFUNCTION("""COMPUTED_VALUE"""),"")</f>
        <v/>
      </c>
      <c r="E80" s="2" t="str">
        <f>IFERROR(__xludf.DUMMYFUNCTION("""COMPUTED_VALUE"""),"")</f>
        <v/>
      </c>
    </row>
    <row r="81">
      <c r="A81" s="2"/>
      <c r="B81" s="2"/>
      <c r="C81" s="2" t="str">
        <f t="shared" si="1"/>
        <v> </v>
      </c>
      <c r="D81" s="2" t="str">
        <f>IFERROR(__xludf.DUMMYFUNCTION("""COMPUTED_VALUE"""),"")</f>
        <v/>
      </c>
      <c r="E81" s="2" t="str">
        <f>IFERROR(__xludf.DUMMYFUNCTION("""COMPUTED_VALUE"""),"")</f>
        <v/>
      </c>
    </row>
    <row r="82">
      <c r="A82" s="2"/>
      <c r="B82" s="2"/>
      <c r="C82" s="2" t="str">
        <f t="shared" si="1"/>
        <v> </v>
      </c>
      <c r="D82" s="2" t="str">
        <f>IFERROR(__xludf.DUMMYFUNCTION("""COMPUTED_VALUE"""),"")</f>
        <v/>
      </c>
      <c r="E82" s="2" t="str">
        <f>IFERROR(__xludf.DUMMYFUNCTION("""COMPUTED_VALUE"""),"")</f>
        <v/>
      </c>
    </row>
    <row r="83">
      <c r="A83" s="2"/>
      <c r="B83" s="2"/>
      <c r="C83" s="2" t="str">
        <f t="shared" si="1"/>
        <v> </v>
      </c>
      <c r="D83" s="2" t="str">
        <f>IFERROR(__xludf.DUMMYFUNCTION("""COMPUTED_VALUE"""),"")</f>
        <v/>
      </c>
      <c r="E83" s="2" t="str">
        <f>IFERROR(__xludf.DUMMYFUNCTION("""COMPUTED_VALUE"""),"")</f>
        <v/>
      </c>
    </row>
    <row r="84">
      <c r="A84" s="2"/>
      <c r="B84" s="2"/>
      <c r="C84" s="2" t="str">
        <f t="shared" si="1"/>
        <v> </v>
      </c>
      <c r="D84" s="2" t="str">
        <f>IFERROR(__xludf.DUMMYFUNCTION("""COMPUTED_VALUE"""),"")</f>
        <v/>
      </c>
      <c r="E84" s="2" t="str">
        <f>IFERROR(__xludf.DUMMYFUNCTION("""COMPUTED_VALUE"""),"")</f>
        <v/>
      </c>
    </row>
    <row r="85">
      <c r="A85" s="2"/>
      <c r="B85" s="2"/>
      <c r="C85" s="2" t="str">
        <f t="shared" si="1"/>
        <v> </v>
      </c>
      <c r="D85" s="2" t="str">
        <f>IFERROR(__xludf.DUMMYFUNCTION("""COMPUTED_VALUE"""),"")</f>
        <v/>
      </c>
      <c r="E85" s="2" t="str">
        <f>IFERROR(__xludf.DUMMYFUNCTION("""COMPUTED_VALUE"""),"")</f>
        <v/>
      </c>
    </row>
    <row r="86">
      <c r="A86" s="2"/>
      <c r="B86" s="2"/>
      <c r="C86" s="2" t="str">
        <f t="shared" si="1"/>
        <v> </v>
      </c>
      <c r="D86" s="2" t="str">
        <f>IFERROR(__xludf.DUMMYFUNCTION("""COMPUTED_VALUE"""),"")</f>
        <v/>
      </c>
      <c r="E86" s="2" t="str">
        <f>IFERROR(__xludf.DUMMYFUNCTION("""COMPUTED_VALUE"""),"")</f>
        <v/>
      </c>
    </row>
    <row r="87">
      <c r="A87" s="2"/>
      <c r="B87" s="2"/>
      <c r="C87" s="2" t="str">
        <f t="shared" si="1"/>
        <v> </v>
      </c>
      <c r="D87" s="2" t="str">
        <f>IFERROR(__xludf.DUMMYFUNCTION("""COMPUTED_VALUE"""),"")</f>
        <v/>
      </c>
      <c r="E87" s="2" t="str">
        <f>IFERROR(__xludf.DUMMYFUNCTION("""COMPUTED_VALUE"""),"")</f>
        <v/>
      </c>
    </row>
    <row r="88">
      <c r="A88" s="2"/>
      <c r="B88" s="2"/>
      <c r="C88" s="2" t="str">
        <f t="shared" si="1"/>
        <v> </v>
      </c>
      <c r="D88" s="2" t="str">
        <f>IFERROR(__xludf.DUMMYFUNCTION("""COMPUTED_VALUE"""),"")</f>
        <v/>
      </c>
      <c r="E88" s="2" t="str">
        <f>IFERROR(__xludf.DUMMYFUNCTION("""COMPUTED_VALUE"""),"")</f>
        <v/>
      </c>
    </row>
    <row r="89">
      <c r="A89" s="2"/>
      <c r="B89" s="2"/>
      <c r="C89" s="2" t="str">
        <f t="shared" si="1"/>
        <v> </v>
      </c>
      <c r="D89" s="2" t="str">
        <f>IFERROR(__xludf.DUMMYFUNCTION("""COMPUTED_VALUE"""),"")</f>
        <v/>
      </c>
      <c r="E89" s="2" t="str">
        <f>IFERROR(__xludf.DUMMYFUNCTION("""COMPUTED_VALUE"""),"")</f>
        <v/>
      </c>
    </row>
    <row r="90">
      <c r="A90" s="2"/>
      <c r="B90" s="2"/>
      <c r="C90" s="2" t="str">
        <f t="shared" si="1"/>
        <v> </v>
      </c>
      <c r="D90" s="2" t="str">
        <f>IFERROR(__xludf.DUMMYFUNCTION("""COMPUTED_VALUE"""),"")</f>
        <v/>
      </c>
      <c r="E90" s="2" t="str">
        <f>IFERROR(__xludf.DUMMYFUNCTION("""COMPUTED_VALUE"""),"")</f>
        <v/>
      </c>
    </row>
    <row r="91">
      <c r="A91" s="2"/>
      <c r="B91" s="2"/>
      <c r="C91" s="2" t="str">
        <f t="shared" si="1"/>
        <v> </v>
      </c>
      <c r="D91" s="2" t="str">
        <f>IFERROR(__xludf.DUMMYFUNCTION("""COMPUTED_VALUE"""),"")</f>
        <v/>
      </c>
      <c r="E91" s="2" t="str">
        <f>IFERROR(__xludf.DUMMYFUNCTION("""COMPUTED_VALUE"""),"")</f>
        <v/>
      </c>
    </row>
    <row r="92">
      <c r="A92" s="2"/>
      <c r="B92" s="2"/>
      <c r="C92" s="2" t="str">
        <f t="shared" si="1"/>
        <v> </v>
      </c>
      <c r="D92" s="2" t="str">
        <f>IFERROR(__xludf.DUMMYFUNCTION("""COMPUTED_VALUE"""),"")</f>
        <v/>
      </c>
      <c r="E92" s="2" t="str">
        <f>IFERROR(__xludf.DUMMYFUNCTION("""COMPUTED_VALUE"""),"")</f>
        <v/>
      </c>
    </row>
    <row r="93">
      <c r="A93" s="2"/>
      <c r="B93" s="2"/>
      <c r="C93" s="2" t="str">
        <f t="shared" si="1"/>
        <v> </v>
      </c>
      <c r="D93" s="2" t="str">
        <f>IFERROR(__xludf.DUMMYFUNCTION("""COMPUTED_VALUE"""),"")</f>
        <v/>
      </c>
      <c r="E93" s="2" t="str">
        <f>IFERROR(__xludf.DUMMYFUNCTION("""COMPUTED_VALUE"""),"")</f>
        <v/>
      </c>
    </row>
    <row r="94">
      <c r="A94" s="2"/>
      <c r="B94" s="2"/>
      <c r="C94" s="2" t="str">
        <f t="shared" si="1"/>
        <v> </v>
      </c>
      <c r="D94" s="2" t="str">
        <f>IFERROR(__xludf.DUMMYFUNCTION("""COMPUTED_VALUE"""),"")</f>
        <v/>
      </c>
      <c r="E94" s="2" t="str">
        <f>IFERROR(__xludf.DUMMYFUNCTION("""COMPUTED_VALUE"""),"")</f>
        <v/>
      </c>
    </row>
    <row r="95">
      <c r="A95" s="2"/>
      <c r="B95" s="2"/>
      <c r="C95" s="2" t="str">
        <f t="shared" si="1"/>
        <v> </v>
      </c>
      <c r="D95" s="2" t="str">
        <f>IFERROR(__xludf.DUMMYFUNCTION("""COMPUTED_VALUE"""),"")</f>
        <v/>
      </c>
      <c r="E95" s="2" t="str">
        <f>IFERROR(__xludf.DUMMYFUNCTION("""COMPUTED_VALUE"""),"")</f>
        <v/>
      </c>
    </row>
    <row r="96">
      <c r="A96" s="2"/>
      <c r="B96" s="2"/>
      <c r="C96" s="2" t="str">
        <f t="shared" si="1"/>
        <v> </v>
      </c>
      <c r="D96" s="2" t="str">
        <f>IFERROR(__xludf.DUMMYFUNCTION("""COMPUTED_VALUE"""),"")</f>
        <v/>
      </c>
      <c r="E96" s="2" t="str">
        <f>IFERROR(__xludf.DUMMYFUNCTION("""COMPUTED_VALUE"""),"")</f>
        <v/>
      </c>
    </row>
    <row r="97">
      <c r="A97" s="2"/>
      <c r="B97" s="2"/>
      <c r="C97" s="2" t="str">
        <f t="shared" si="1"/>
        <v> </v>
      </c>
      <c r="D97" s="2" t="str">
        <f>IFERROR(__xludf.DUMMYFUNCTION("""COMPUTED_VALUE"""),"")</f>
        <v/>
      </c>
      <c r="E97" s="2" t="str">
        <f>IFERROR(__xludf.DUMMYFUNCTION("""COMPUTED_VALUE"""),"")</f>
        <v/>
      </c>
    </row>
    <row r="98">
      <c r="A98" s="2"/>
      <c r="B98" s="2"/>
      <c r="C98" s="2" t="str">
        <f t="shared" si="1"/>
        <v> </v>
      </c>
      <c r="D98" s="2" t="str">
        <f>IFERROR(__xludf.DUMMYFUNCTION("""COMPUTED_VALUE"""),"")</f>
        <v/>
      </c>
      <c r="E98" s="2" t="str">
        <f>IFERROR(__xludf.DUMMYFUNCTION("""COMPUTED_VALUE"""),"")</f>
        <v/>
      </c>
    </row>
    <row r="99">
      <c r="A99" s="2"/>
      <c r="B99" s="2"/>
      <c r="C99" s="2" t="str">
        <f t="shared" si="1"/>
        <v> </v>
      </c>
      <c r="D99" s="2" t="str">
        <f>IFERROR(__xludf.DUMMYFUNCTION("""COMPUTED_VALUE"""),"")</f>
        <v/>
      </c>
      <c r="E99" s="2" t="str">
        <f>IFERROR(__xludf.DUMMYFUNCTION("""COMPUTED_VALUE"""),"")</f>
        <v/>
      </c>
    </row>
    <row r="100">
      <c r="A100" s="2"/>
      <c r="B100" s="2"/>
      <c r="C100" s="2" t="str">
        <f t="shared" si="1"/>
        <v> </v>
      </c>
      <c r="D100" s="2" t="str">
        <f>IFERROR(__xludf.DUMMYFUNCTION("""COMPUTED_VALUE"""),"")</f>
        <v/>
      </c>
      <c r="E100" s="2" t="str">
        <f>IFERROR(__xludf.DUMMYFUNCTION("""COMPUTED_VALUE"""),"")</f>
        <v/>
      </c>
    </row>
    <row r="101">
      <c r="A101" s="2"/>
      <c r="B101" s="2"/>
      <c r="C101" s="2" t="str">
        <f t="shared" si="1"/>
        <v> </v>
      </c>
      <c r="D101" s="2" t="str">
        <f>IFERROR(__xludf.DUMMYFUNCTION("""COMPUTED_VALUE"""),"")</f>
        <v/>
      </c>
      <c r="E101" s="2" t="str">
        <f>IFERROR(__xludf.DUMMYFUNCTION("""COMPUTED_VALUE"""),"")</f>
        <v/>
      </c>
    </row>
    <row r="102">
      <c r="A102" s="2"/>
      <c r="B102" s="2"/>
      <c r="C102" s="2" t="str">
        <f t="shared" si="1"/>
        <v> </v>
      </c>
      <c r="D102" s="2" t="str">
        <f>IFERROR(__xludf.DUMMYFUNCTION("""COMPUTED_VALUE"""),"")</f>
        <v/>
      </c>
      <c r="E102" s="2" t="str">
        <f>IFERROR(__xludf.DUMMYFUNCTION("""COMPUTED_VALUE"""),"")</f>
        <v/>
      </c>
    </row>
    <row r="103">
      <c r="A103" s="2"/>
      <c r="B103" s="2"/>
      <c r="C103" s="2" t="str">
        <f t="shared" si="1"/>
        <v> </v>
      </c>
      <c r="D103" s="2" t="str">
        <f>IFERROR(__xludf.DUMMYFUNCTION("""COMPUTED_VALUE"""),"")</f>
        <v/>
      </c>
      <c r="E103" s="2" t="str">
        <f>IFERROR(__xludf.DUMMYFUNCTION("""COMPUTED_VALUE"""),"")</f>
        <v/>
      </c>
    </row>
    <row r="104">
      <c r="A104" s="2"/>
      <c r="B104" s="2"/>
      <c r="C104" s="2" t="str">
        <f t="shared" si="1"/>
        <v> </v>
      </c>
      <c r="D104" s="2" t="str">
        <f>IFERROR(__xludf.DUMMYFUNCTION("""COMPUTED_VALUE"""),"")</f>
        <v/>
      </c>
      <c r="E104" s="2" t="str">
        <f>IFERROR(__xludf.DUMMYFUNCTION("""COMPUTED_VALUE"""),"")</f>
        <v/>
      </c>
    </row>
    <row r="105">
      <c r="A105" s="2"/>
      <c r="B105" s="2"/>
      <c r="C105" s="2" t="str">
        <f t="shared" si="1"/>
        <v> </v>
      </c>
      <c r="D105" s="2" t="str">
        <f>IFERROR(__xludf.DUMMYFUNCTION("""COMPUTED_VALUE"""),"")</f>
        <v/>
      </c>
      <c r="E105" s="2" t="str">
        <f>IFERROR(__xludf.DUMMYFUNCTION("""COMPUTED_VALUE"""),"")</f>
        <v/>
      </c>
    </row>
    <row r="106">
      <c r="A106" s="2"/>
      <c r="B106" s="2"/>
      <c r="C106" s="2" t="str">
        <f t="shared" si="1"/>
        <v> </v>
      </c>
      <c r="D106" s="2" t="str">
        <f>IFERROR(__xludf.DUMMYFUNCTION("""COMPUTED_VALUE"""),"")</f>
        <v/>
      </c>
      <c r="E106" s="2" t="str">
        <f>IFERROR(__xludf.DUMMYFUNCTION("""COMPUTED_VALUE"""),"")</f>
        <v/>
      </c>
    </row>
    <row r="107">
      <c r="A107" s="2"/>
      <c r="B107" s="2"/>
      <c r="C107" s="2" t="str">
        <f t="shared" si="1"/>
        <v> </v>
      </c>
      <c r="D107" s="2" t="str">
        <f>IFERROR(__xludf.DUMMYFUNCTION("""COMPUTED_VALUE"""),"")</f>
        <v/>
      </c>
      <c r="E107" s="2" t="str">
        <f>IFERROR(__xludf.DUMMYFUNCTION("""COMPUTED_VALUE"""),"")</f>
        <v/>
      </c>
    </row>
    <row r="108">
      <c r="A108" s="2"/>
      <c r="B108" s="2"/>
      <c r="C108" s="2" t="str">
        <f t="shared" si="1"/>
        <v> </v>
      </c>
      <c r="D108" s="2" t="str">
        <f>IFERROR(__xludf.DUMMYFUNCTION("""COMPUTED_VALUE"""),"")</f>
        <v/>
      </c>
      <c r="E108" s="2" t="str">
        <f>IFERROR(__xludf.DUMMYFUNCTION("""COMPUTED_VALUE"""),"")</f>
        <v/>
      </c>
    </row>
    <row r="109">
      <c r="A109" s="2"/>
      <c r="B109" s="2"/>
      <c r="C109" s="2" t="str">
        <f t="shared" si="1"/>
        <v> </v>
      </c>
      <c r="D109" s="2" t="str">
        <f>IFERROR(__xludf.DUMMYFUNCTION("""COMPUTED_VALUE"""),"")</f>
        <v/>
      </c>
      <c r="E109" s="2" t="str">
        <f>IFERROR(__xludf.DUMMYFUNCTION("""COMPUTED_VALUE"""),"")</f>
        <v/>
      </c>
    </row>
    <row r="110">
      <c r="A110" s="2"/>
      <c r="B110" s="2"/>
      <c r="C110" s="2" t="str">
        <f t="shared" si="1"/>
        <v> </v>
      </c>
      <c r="D110" s="2" t="str">
        <f>IFERROR(__xludf.DUMMYFUNCTION("""COMPUTED_VALUE"""),"")</f>
        <v/>
      </c>
      <c r="E110" s="2" t="str">
        <f>IFERROR(__xludf.DUMMYFUNCTION("""COMPUTED_VALUE"""),"")</f>
        <v/>
      </c>
    </row>
    <row r="111">
      <c r="A111" s="2"/>
      <c r="B111" s="2"/>
      <c r="C111" s="2" t="str">
        <f t="shared" si="1"/>
        <v> </v>
      </c>
      <c r="D111" s="2" t="str">
        <f>IFERROR(__xludf.DUMMYFUNCTION("""COMPUTED_VALUE"""),"")</f>
        <v/>
      </c>
      <c r="E111" s="2" t="str">
        <f>IFERROR(__xludf.DUMMYFUNCTION("""COMPUTED_VALUE"""),"")</f>
        <v/>
      </c>
    </row>
    <row r="112">
      <c r="A112" s="2"/>
      <c r="B112" s="2"/>
      <c r="C112" s="2" t="str">
        <f t="shared" si="1"/>
        <v> </v>
      </c>
      <c r="D112" s="2" t="str">
        <f>IFERROR(__xludf.DUMMYFUNCTION("""COMPUTED_VALUE"""),"")</f>
        <v/>
      </c>
      <c r="E112" s="2" t="str">
        <f>IFERROR(__xludf.DUMMYFUNCTION("""COMPUTED_VALUE"""),"")</f>
        <v/>
      </c>
    </row>
    <row r="113">
      <c r="A113" s="2"/>
      <c r="B113" s="2"/>
      <c r="C113" s="2" t="str">
        <f t="shared" si="1"/>
        <v> </v>
      </c>
      <c r="D113" s="2" t="str">
        <f>IFERROR(__xludf.DUMMYFUNCTION("""COMPUTED_VALUE"""),"")</f>
        <v/>
      </c>
      <c r="E113" s="2" t="str">
        <f>IFERROR(__xludf.DUMMYFUNCTION("""COMPUTED_VALUE"""),"")</f>
        <v/>
      </c>
    </row>
    <row r="114">
      <c r="A114" s="2"/>
      <c r="B114" s="2"/>
      <c r="C114" s="2" t="str">
        <f t="shared" si="1"/>
        <v> </v>
      </c>
      <c r="D114" s="2" t="str">
        <f>IFERROR(__xludf.DUMMYFUNCTION("""COMPUTED_VALUE"""),"")</f>
        <v/>
      </c>
      <c r="E114" s="2" t="str">
        <f>IFERROR(__xludf.DUMMYFUNCTION("""COMPUTED_VALUE"""),"")</f>
        <v/>
      </c>
    </row>
    <row r="115">
      <c r="A115" s="2"/>
      <c r="B115" s="2"/>
      <c r="C115" s="2" t="str">
        <f t="shared" si="1"/>
        <v> </v>
      </c>
      <c r="D115" s="2" t="str">
        <f>IFERROR(__xludf.DUMMYFUNCTION("""COMPUTED_VALUE"""),"")</f>
        <v/>
      </c>
      <c r="E115" s="2" t="str">
        <f>IFERROR(__xludf.DUMMYFUNCTION("""COMPUTED_VALUE"""),"")</f>
        <v/>
      </c>
    </row>
    <row r="116">
      <c r="A116" s="2"/>
      <c r="B116" s="2"/>
      <c r="C116" s="2" t="str">
        <f t="shared" si="1"/>
        <v> </v>
      </c>
      <c r="D116" s="2" t="str">
        <f>IFERROR(__xludf.DUMMYFUNCTION("""COMPUTED_VALUE"""),"")</f>
        <v/>
      </c>
      <c r="E116" s="2" t="str">
        <f>IFERROR(__xludf.DUMMYFUNCTION("""COMPUTED_VALUE"""),"")</f>
        <v/>
      </c>
    </row>
    <row r="117">
      <c r="A117" s="2"/>
      <c r="B117" s="2"/>
      <c r="C117" s="2" t="str">
        <f t="shared" si="1"/>
        <v> </v>
      </c>
      <c r="D117" s="2" t="str">
        <f>IFERROR(__xludf.DUMMYFUNCTION("""COMPUTED_VALUE"""),"")</f>
        <v/>
      </c>
      <c r="E117" s="2" t="str">
        <f>IFERROR(__xludf.DUMMYFUNCTION("""COMPUTED_VALUE"""),"")</f>
        <v/>
      </c>
    </row>
    <row r="118">
      <c r="A118" s="2"/>
      <c r="B118" s="2"/>
      <c r="C118" s="2" t="str">
        <f t="shared" si="1"/>
        <v> </v>
      </c>
      <c r="D118" s="2" t="str">
        <f>IFERROR(__xludf.DUMMYFUNCTION("""COMPUTED_VALUE"""),"")</f>
        <v/>
      </c>
      <c r="E118" s="2" t="str">
        <f>IFERROR(__xludf.DUMMYFUNCTION("""COMPUTED_VALUE"""),"")</f>
        <v/>
      </c>
    </row>
    <row r="119">
      <c r="A119" s="2"/>
      <c r="B119" s="2"/>
      <c r="C119" s="2" t="str">
        <f t="shared" si="1"/>
        <v> </v>
      </c>
      <c r="D119" s="2" t="str">
        <f>IFERROR(__xludf.DUMMYFUNCTION("""COMPUTED_VALUE"""),"")</f>
        <v/>
      </c>
      <c r="E119" s="2" t="str">
        <f>IFERROR(__xludf.DUMMYFUNCTION("""COMPUTED_VALUE"""),"")</f>
        <v/>
      </c>
    </row>
    <row r="120">
      <c r="A120" s="2"/>
      <c r="B120" s="2"/>
      <c r="C120" s="2" t="str">
        <f t="shared" si="1"/>
        <v> </v>
      </c>
      <c r="D120" s="2" t="str">
        <f>IFERROR(__xludf.DUMMYFUNCTION("""COMPUTED_VALUE"""),"")</f>
        <v/>
      </c>
      <c r="E120" s="2" t="str">
        <f>IFERROR(__xludf.DUMMYFUNCTION("""COMPUTED_VALUE"""),"")</f>
        <v/>
      </c>
    </row>
    <row r="121">
      <c r="A121" s="2"/>
      <c r="B121" s="2"/>
      <c r="C121" s="2" t="str">
        <f t="shared" si="1"/>
        <v> </v>
      </c>
      <c r="D121" s="2" t="str">
        <f>IFERROR(__xludf.DUMMYFUNCTION("""COMPUTED_VALUE"""),"")</f>
        <v/>
      </c>
      <c r="E121" s="2" t="str">
        <f>IFERROR(__xludf.DUMMYFUNCTION("""COMPUTED_VALUE"""),"")</f>
        <v/>
      </c>
    </row>
    <row r="122">
      <c r="A122" s="2"/>
      <c r="B122" s="2"/>
      <c r="C122" s="2" t="str">
        <f t="shared" si="1"/>
        <v> </v>
      </c>
      <c r="D122" s="2" t="str">
        <f>IFERROR(__xludf.DUMMYFUNCTION("""COMPUTED_VALUE"""),"")</f>
        <v/>
      </c>
      <c r="E122" s="2" t="str">
        <f>IFERROR(__xludf.DUMMYFUNCTION("""COMPUTED_VALUE"""),"")</f>
        <v/>
      </c>
    </row>
    <row r="123">
      <c r="A123" s="2"/>
      <c r="B123" s="2"/>
      <c r="C123" s="2" t="str">
        <f t="shared" si="1"/>
        <v> </v>
      </c>
      <c r="D123" s="2" t="str">
        <f>IFERROR(__xludf.DUMMYFUNCTION("""COMPUTED_VALUE"""),"")</f>
        <v/>
      </c>
      <c r="E123" s="2" t="str">
        <f>IFERROR(__xludf.DUMMYFUNCTION("""COMPUTED_VALUE"""),"")</f>
        <v/>
      </c>
    </row>
    <row r="124">
      <c r="A124" s="2"/>
      <c r="B124" s="2"/>
      <c r="C124" s="2" t="str">
        <f t="shared" si="1"/>
        <v> </v>
      </c>
      <c r="D124" s="2" t="str">
        <f>IFERROR(__xludf.DUMMYFUNCTION("""COMPUTED_VALUE"""),"")</f>
        <v/>
      </c>
      <c r="E124" s="2" t="str">
        <f>IFERROR(__xludf.DUMMYFUNCTION("""COMPUTED_VALUE"""),"")</f>
        <v/>
      </c>
    </row>
    <row r="125">
      <c r="A125" s="2"/>
      <c r="B125" s="2"/>
      <c r="C125" s="2" t="str">
        <f t="shared" si="1"/>
        <v> </v>
      </c>
      <c r="D125" s="2" t="str">
        <f>IFERROR(__xludf.DUMMYFUNCTION("""COMPUTED_VALUE"""),"")</f>
        <v/>
      </c>
      <c r="E125" s="2" t="str">
        <f>IFERROR(__xludf.DUMMYFUNCTION("""COMPUTED_VALUE"""),"")</f>
        <v/>
      </c>
    </row>
    <row r="126">
      <c r="A126" s="2"/>
      <c r="B126" s="2"/>
      <c r="C126" s="2" t="str">
        <f t="shared" si="1"/>
        <v> </v>
      </c>
      <c r="D126" s="2" t="str">
        <f>IFERROR(__xludf.DUMMYFUNCTION("""COMPUTED_VALUE"""),"")</f>
        <v/>
      </c>
      <c r="E126" s="2" t="str">
        <f>IFERROR(__xludf.DUMMYFUNCTION("""COMPUTED_VALUE"""),"")</f>
        <v/>
      </c>
    </row>
    <row r="127">
      <c r="A127" s="2"/>
      <c r="B127" s="2"/>
      <c r="C127" s="2" t="str">
        <f t="shared" si="1"/>
        <v> </v>
      </c>
      <c r="D127" s="2" t="str">
        <f>IFERROR(__xludf.DUMMYFUNCTION("""COMPUTED_VALUE"""),"")</f>
        <v/>
      </c>
      <c r="E127" s="2" t="str">
        <f>IFERROR(__xludf.DUMMYFUNCTION("""COMPUTED_VALUE"""),"")</f>
        <v/>
      </c>
    </row>
    <row r="128">
      <c r="A128" s="2"/>
      <c r="B128" s="2"/>
      <c r="C128" s="2" t="str">
        <f t="shared" si="1"/>
        <v> </v>
      </c>
      <c r="D128" s="2" t="str">
        <f>IFERROR(__xludf.DUMMYFUNCTION("""COMPUTED_VALUE"""),"")</f>
        <v/>
      </c>
      <c r="E128" s="2" t="str">
        <f>IFERROR(__xludf.DUMMYFUNCTION("""COMPUTED_VALUE"""),"")</f>
        <v/>
      </c>
    </row>
    <row r="129">
      <c r="A129" s="2"/>
      <c r="B129" s="2"/>
      <c r="C129" s="2" t="str">
        <f t="shared" si="1"/>
        <v> </v>
      </c>
      <c r="D129" s="2" t="str">
        <f>IFERROR(__xludf.DUMMYFUNCTION("""COMPUTED_VALUE"""),"")</f>
        <v/>
      </c>
      <c r="E129" s="2" t="str">
        <f>IFERROR(__xludf.DUMMYFUNCTION("""COMPUTED_VALUE"""),"")</f>
        <v/>
      </c>
    </row>
    <row r="130">
      <c r="A130" s="2"/>
      <c r="B130" s="2"/>
      <c r="C130" s="2" t="str">
        <f t="shared" si="1"/>
        <v> </v>
      </c>
      <c r="D130" s="2" t="str">
        <f>IFERROR(__xludf.DUMMYFUNCTION("""COMPUTED_VALUE"""),"")</f>
        <v/>
      </c>
      <c r="E130" s="2" t="str">
        <f>IFERROR(__xludf.DUMMYFUNCTION("""COMPUTED_VALUE"""),"")</f>
        <v/>
      </c>
    </row>
    <row r="131">
      <c r="A131" s="2"/>
      <c r="B131" s="2"/>
      <c r="C131" s="2" t="str">
        <f t="shared" si="1"/>
        <v> </v>
      </c>
      <c r="D131" s="2" t="str">
        <f>IFERROR(__xludf.DUMMYFUNCTION("""COMPUTED_VALUE"""),"")</f>
        <v/>
      </c>
      <c r="E131" s="2" t="str">
        <f>IFERROR(__xludf.DUMMYFUNCTION("""COMPUTED_VALUE"""),"")</f>
        <v/>
      </c>
    </row>
    <row r="132">
      <c r="A132" s="2"/>
      <c r="B132" s="2"/>
      <c r="C132" s="2" t="str">
        <f t="shared" si="1"/>
        <v> </v>
      </c>
      <c r="D132" s="2" t="str">
        <f>IFERROR(__xludf.DUMMYFUNCTION("""COMPUTED_VALUE"""),"")</f>
        <v/>
      </c>
      <c r="E132" s="2" t="str">
        <f>IFERROR(__xludf.DUMMYFUNCTION("""COMPUTED_VALUE"""),"")</f>
        <v/>
      </c>
    </row>
    <row r="133">
      <c r="A133" s="2"/>
      <c r="B133" s="2"/>
      <c r="C133" s="2" t="str">
        <f t="shared" si="1"/>
        <v> </v>
      </c>
      <c r="D133" s="2" t="str">
        <f>IFERROR(__xludf.DUMMYFUNCTION("""COMPUTED_VALUE"""),"")</f>
        <v/>
      </c>
      <c r="E133" s="2" t="str">
        <f>IFERROR(__xludf.DUMMYFUNCTION("""COMPUTED_VALUE"""),"")</f>
        <v/>
      </c>
    </row>
    <row r="134">
      <c r="A134" s="2"/>
      <c r="B134" s="2"/>
      <c r="C134" s="2" t="str">
        <f t="shared" si="1"/>
        <v> </v>
      </c>
      <c r="D134" s="2" t="str">
        <f>IFERROR(__xludf.DUMMYFUNCTION("""COMPUTED_VALUE"""),"")</f>
        <v/>
      </c>
      <c r="E134" s="2" t="str">
        <f>IFERROR(__xludf.DUMMYFUNCTION("""COMPUTED_VALUE"""),"")</f>
        <v/>
      </c>
    </row>
    <row r="135">
      <c r="A135" s="2"/>
      <c r="B135" s="2"/>
      <c r="C135" s="2" t="str">
        <f t="shared" si="1"/>
        <v> </v>
      </c>
      <c r="D135" s="2" t="str">
        <f>IFERROR(__xludf.DUMMYFUNCTION("""COMPUTED_VALUE"""),"")</f>
        <v/>
      </c>
      <c r="E135" s="2" t="str">
        <f>IFERROR(__xludf.DUMMYFUNCTION("""COMPUTED_VALUE"""),"")</f>
        <v/>
      </c>
    </row>
    <row r="136">
      <c r="A136" s="2"/>
      <c r="B136" s="2"/>
      <c r="C136" s="2" t="str">
        <f t="shared" si="1"/>
        <v> </v>
      </c>
      <c r="D136" s="2" t="str">
        <f>IFERROR(__xludf.DUMMYFUNCTION("""COMPUTED_VALUE"""),"")</f>
        <v/>
      </c>
      <c r="E136" s="2" t="str">
        <f>IFERROR(__xludf.DUMMYFUNCTION("""COMPUTED_VALUE"""),"")</f>
        <v/>
      </c>
    </row>
    <row r="137">
      <c r="A137" s="2"/>
      <c r="B137" s="2"/>
      <c r="C137" s="2" t="str">
        <f t="shared" si="1"/>
        <v> </v>
      </c>
      <c r="D137" s="2" t="str">
        <f>IFERROR(__xludf.DUMMYFUNCTION("""COMPUTED_VALUE"""),"")</f>
        <v/>
      </c>
      <c r="E137" s="2" t="str">
        <f>IFERROR(__xludf.DUMMYFUNCTION("""COMPUTED_VALUE"""),"")</f>
        <v/>
      </c>
    </row>
    <row r="138">
      <c r="A138" s="2"/>
      <c r="B138" s="2"/>
      <c r="C138" s="2" t="str">
        <f t="shared" si="1"/>
        <v> </v>
      </c>
      <c r="D138" s="2" t="str">
        <f>IFERROR(__xludf.DUMMYFUNCTION("""COMPUTED_VALUE"""),"")</f>
        <v/>
      </c>
      <c r="E138" s="2" t="str">
        <f>IFERROR(__xludf.DUMMYFUNCTION("""COMPUTED_VALUE"""),"")</f>
        <v/>
      </c>
    </row>
    <row r="139">
      <c r="A139" s="2"/>
      <c r="B139" s="2"/>
      <c r="C139" s="2" t="str">
        <f t="shared" si="1"/>
        <v> </v>
      </c>
      <c r="D139" s="2" t="str">
        <f>IFERROR(__xludf.DUMMYFUNCTION("""COMPUTED_VALUE"""),"")</f>
        <v/>
      </c>
      <c r="E139" s="2" t="str">
        <f>IFERROR(__xludf.DUMMYFUNCTION("""COMPUTED_VALUE"""),"")</f>
        <v/>
      </c>
    </row>
    <row r="140">
      <c r="A140" s="2"/>
      <c r="B140" s="2"/>
      <c r="C140" s="2" t="str">
        <f t="shared" si="1"/>
        <v> </v>
      </c>
      <c r="D140" s="2" t="str">
        <f>IFERROR(__xludf.DUMMYFUNCTION("""COMPUTED_VALUE"""),"")</f>
        <v/>
      </c>
      <c r="E140" s="2" t="str">
        <f>IFERROR(__xludf.DUMMYFUNCTION("""COMPUTED_VALUE"""),"")</f>
        <v/>
      </c>
    </row>
    <row r="141">
      <c r="A141" s="2"/>
      <c r="B141" s="2"/>
      <c r="C141" s="2" t="str">
        <f t="shared" si="1"/>
        <v> </v>
      </c>
      <c r="D141" s="2" t="str">
        <f>IFERROR(__xludf.DUMMYFUNCTION("""COMPUTED_VALUE"""),"")</f>
        <v/>
      </c>
      <c r="E141" s="2" t="str">
        <f>IFERROR(__xludf.DUMMYFUNCTION("""COMPUTED_VALUE"""),"")</f>
        <v/>
      </c>
    </row>
    <row r="142">
      <c r="A142" s="2"/>
      <c r="B142" s="2"/>
      <c r="C142" s="2" t="str">
        <f t="shared" si="1"/>
        <v> </v>
      </c>
      <c r="D142" s="2" t="str">
        <f>IFERROR(__xludf.DUMMYFUNCTION("""COMPUTED_VALUE"""),"")</f>
        <v/>
      </c>
      <c r="E142" s="2" t="str">
        <f>IFERROR(__xludf.DUMMYFUNCTION("""COMPUTED_VALUE"""),"")</f>
        <v/>
      </c>
    </row>
    <row r="143">
      <c r="A143" s="2"/>
      <c r="B143" s="2"/>
      <c r="C143" s="2" t="str">
        <f t="shared" si="1"/>
        <v> </v>
      </c>
      <c r="D143" s="2" t="str">
        <f>IFERROR(__xludf.DUMMYFUNCTION("""COMPUTED_VALUE"""),"")</f>
        <v/>
      </c>
      <c r="E143" s="2" t="str">
        <f>IFERROR(__xludf.DUMMYFUNCTION("""COMPUTED_VALUE"""),"")</f>
        <v/>
      </c>
    </row>
    <row r="144">
      <c r="A144" s="2"/>
      <c r="B144" s="2"/>
      <c r="C144" s="2" t="str">
        <f t="shared" si="1"/>
        <v> </v>
      </c>
      <c r="D144" s="2" t="str">
        <f>IFERROR(__xludf.DUMMYFUNCTION("""COMPUTED_VALUE"""),"")</f>
        <v/>
      </c>
      <c r="E144" s="2" t="str">
        <f>IFERROR(__xludf.DUMMYFUNCTION("""COMPUTED_VALUE"""),"")</f>
        <v/>
      </c>
    </row>
    <row r="145">
      <c r="A145" s="2"/>
      <c r="B145" s="2"/>
      <c r="C145" s="2" t="str">
        <f t="shared" si="1"/>
        <v> </v>
      </c>
      <c r="D145" s="2" t="str">
        <f>IFERROR(__xludf.DUMMYFUNCTION("""COMPUTED_VALUE"""),"")</f>
        <v/>
      </c>
      <c r="E145" s="2" t="str">
        <f>IFERROR(__xludf.DUMMYFUNCTION("""COMPUTED_VALUE"""),"")</f>
        <v/>
      </c>
    </row>
    <row r="146">
      <c r="A146" s="2"/>
      <c r="B146" s="2"/>
      <c r="C146" s="2" t="str">
        <f t="shared" si="1"/>
        <v> </v>
      </c>
      <c r="D146" s="2" t="str">
        <f>IFERROR(__xludf.DUMMYFUNCTION("""COMPUTED_VALUE"""),"")</f>
        <v/>
      </c>
      <c r="E146" s="2" t="str">
        <f>IFERROR(__xludf.DUMMYFUNCTION("""COMPUTED_VALUE"""),"")</f>
        <v/>
      </c>
    </row>
    <row r="147">
      <c r="A147" s="2"/>
      <c r="B147" s="2"/>
      <c r="C147" s="2" t="str">
        <f t="shared" si="1"/>
        <v> </v>
      </c>
      <c r="D147" s="2" t="str">
        <f>IFERROR(__xludf.DUMMYFUNCTION("""COMPUTED_VALUE"""),"")</f>
        <v/>
      </c>
      <c r="E147" s="2" t="str">
        <f>IFERROR(__xludf.DUMMYFUNCTION("""COMPUTED_VALUE"""),"")</f>
        <v/>
      </c>
    </row>
    <row r="148">
      <c r="A148" s="2"/>
      <c r="B148" s="2"/>
      <c r="C148" s="2" t="str">
        <f t="shared" si="1"/>
        <v> </v>
      </c>
      <c r="D148" s="2" t="str">
        <f>IFERROR(__xludf.DUMMYFUNCTION("""COMPUTED_VALUE"""),"")</f>
        <v/>
      </c>
      <c r="E148" s="2" t="str">
        <f>IFERROR(__xludf.DUMMYFUNCTION("""COMPUTED_VALUE"""),"")</f>
        <v/>
      </c>
    </row>
    <row r="149">
      <c r="A149" s="2"/>
      <c r="B149" s="2"/>
      <c r="C149" s="2" t="str">
        <f t="shared" si="1"/>
        <v> </v>
      </c>
      <c r="D149" s="2" t="str">
        <f>IFERROR(__xludf.DUMMYFUNCTION("""COMPUTED_VALUE"""),"")</f>
        <v/>
      </c>
      <c r="E149" s="2" t="str">
        <f>IFERROR(__xludf.DUMMYFUNCTION("""COMPUTED_VALUE"""),"")</f>
        <v/>
      </c>
    </row>
    <row r="150">
      <c r="A150" s="2"/>
      <c r="B150" s="2"/>
      <c r="C150" s="2" t="str">
        <f t="shared" si="1"/>
        <v> </v>
      </c>
      <c r="D150" s="2" t="str">
        <f>IFERROR(__xludf.DUMMYFUNCTION("""COMPUTED_VALUE"""),"")</f>
        <v/>
      </c>
      <c r="E150" s="2" t="str">
        <f>IFERROR(__xludf.DUMMYFUNCTION("""COMPUTED_VALUE"""),"")</f>
        <v/>
      </c>
    </row>
    <row r="151">
      <c r="A151" s="2"/>
      <c r="B151" s="2"/>
      <c r="C151" s="2" t="str">
        <f t="shared" si="1"/>
        <v> </v>
      </c>
      <c r="D151" s="2" t="str">
        <f>IFERROR(__xludf.DUMMYFUNCTION("""COMPUTED_VALUE"""),"")</f>
        <v/>
      </c>
      <c r="E151" s="2" t="str">
        <f>IFERROR(__xludf.DUMMYFUNCTION("""COMPUTED_VALUE"""),"")</f>
        <v/>
      </c>
    </row>
    <row r="152">
      <c r="A152" s="2"/>
      <c r="B152" s="2"/>
      <c r="C152" s="2" t="str">
        <f t="shared" si="1"/>
        <v> </v>
      </c>
      <c r="D152" s="2" t="str">
        <f>IFERROR(__xludf.DUMMYFUNCTION("""COMPUTED_VALUE"""),"")</f>
        <v/>
      </c>
      <c r="E152" s="2" t="str">
        <f>IFERROR(__xludf.DUMMYFUNCTION("""COMPUTED_VALUE"""),"")</f>
        <v/>
      </c>
    </row>
    <row r="153">
      <c r="A153" s="2"/>
      <c r="B153" s="2"/>
      <c r="C153" s="2" t="str">
        <f t="shared" si="1"/>
        <v> </v>
      </c>
      <c r="D153" s="2" t="str">
        <f>IFERROR(__xludf.DUMMYFUNCTION("""COMPUTED_VALUE"""),"")</f>
        <v/>
      </c>
      <c r="E153" s="2" t="str">
        <f>IFERROR(__xludf.DUMMYFUNCTION("""COMPUTED_VALUE"""),"")</f>
        <v/>
      </c>
    </row>
    <row r="154">
      <c r="A154" s="2"/>
      <c r="B154" s="2"/>
      <c r="C154" s="2" t="str">
        <f t="shared" si="1"/>
        <v> </v>
      </c>
      <c r="D154" s="2" t="str">
        <f>IFERROR(__xludf.DUMMYFUNCTION("""COMPUTED_VALUE"""),"")</f>
        <v/>
      </c>
      <c r="E154" s="2" t="str">
        <f>IFERROR(__xludf.DUMMYFUNCTION("""COMPUTED_VALUE"""),"")</f>
        <v/>
      </c>
    </row>
    <row r="155">
      <c r="A155" s="2"/>
      <c r="B155" s="2"/>
      <c r="C155" s="2" t="str">
        <f t="shared" si="1"/>
        <v> </v>
      </c>
      <c r="D155" s="2" t="str">
        <f>IFERROR(__xludf.DUMMYFUNCTION("""COMPUTED_VALUE"""),"")</f>
        <v/>
      </c>
      <c r="E155" s="2" t="str">
        <f>IFERROR(__xludf.DUMMYFUNCTION("""COMPUTED_VALUE"""),"")</f>
        <v/>
      </c>
    </row>
    <row r="156">
      <c r="A156" s="2"/>
      <c r="B156" s="2"/>
      <c r="C156" s="2" t="str">
        <f t="shared" si="1"/>
        <v> </v>
      </c>
      <c r="D156" s="2" t="str">
        <f>IFERROR(__xludf.DUMMYFUNCTION("""COMPUTED_VALUE"""),"")</f>
        <v/>
      </c>
      <c r="E156" s="2" t="str">
        <f>IFERROR(__xludf.DUMMYFUNCTION("""COMPUTED_VALUE"""),"")</f>
        <v/>
      </c>
    </row>
    <row r="157">
      <c r="A157" s="2"/>
      <c r="B157" s="2"/>
      <c r="C157" s="2" t="str">
        <f t="shared" si="1"/>
        <v> </v>
      </c>
      <c r="D157" s="2" t="str">
        <f>IFERROR(__xludf.DUMMYFUNCTION("""COMPUTED_VALUE"""),"")</f>
        <v/>
      </c>
      <c r="E157" s="2" t="str">
        <f>IFERROR(__xludf.DUMMYFUNCTION("""COMPUTED_VALUE"""),"")</f>
        <v/>
      </c>
    </row>
    <row r="158">
      <c r="A158" s="2"/>
      <c r="B158" s="2"/>
      <c r="C158" s="2" t="str">
        <f t="shared" si="1"/>
        <v> </v>
      </c>
      <c r="D158" s="2" t="str">
        <f>IFERROR(__xludf.DUMMYFUNCTION("""COMPUTED_VALUE"""),"")</f>
        <v/>
      </c>
      <c r="E158" s="2" t="str">
        <f>IFERROR(__xludf.DUMMYFUNCTION("""COMPUTED_VALUE"""),"")</f>
        <v/>
      </c>
    </row>
    <row r="159">
      <c r="A159" s="2"/>
      <c r="B159" s="2"/>
      <c r="C159" s="2" t="str">
        <f t="shared" si="1"/>
        <v> </v>
      </c>
      <c r="D159" s="2" t="str">
        <f>IFERROR(__xludf.DUMMYFUNCTION("""COMPUTED_VALUE"""),"")</f>
        <v/>
      </c>
      <c r="E159" s="2" t="str">
        <f>IFERROR(__xludf.DUMMYFUNCTION("""COMPUTED_VALUE"""),"")</f>
        <v/>
      </c>
    </row>
    <row r="160">
      <c r="A160" s="2"/>
      <c r="B160" s="2"/>
      <c r="C160" s="2" t="str">
        <f t="shared" si="1"/>
        <v> </v>
      </c>
      <c r="D160" s="2" t="str">
        <f>IFERROR(__xludf.DUMMYFUNCTION("""COMPUTED_VALUE"""),"")</f>
        <v/>
      </c>
      <c r="E160" s="2" t="str">
        <f>IFERROR(__xludf.DUMMYFUNCTION("""COMPUTED_VALUE"""),"")</f>
        <v/>
      </c>
    </row>
    <row r="161">
      <c r="A161" s="2"/>
      <c r="B161" s="2"/>
      <c r="C161" s="2" t="str">
        <f t="shared" si="1"/>
        <v> </v>
      </c>
      <c r="D161" s="2" t="str">
        <f>IFERROR(__xludf.DUMMYFUNCTION("""COMPUTED_VALUE"""),"")</f>
        <v/>
      </c>
      <c r="E161" s="2" t="str">
        <f>IFERROR(__xludf.DUMMYFUNCTION("""COMPUTED_VALUE"""),"")</f>
        <v/>
      </c>
    </row>
    <row r="162">
      <c r="A162" s="2"/>
      <c r="B162" s="2"/>
      <c r="C162" s="2" t="str">
        <f t="shared" si="1"/>
        <v> </v>
      </c>
      <c r="D162" s="2" t="str">
        <f>IFERROR(__xludf.DUMMYFUNCTION("""COMPUTED_VALUE"""),"")</f>
        <v/>
      </c>
      <c r="E162" s="2" t="str">
        <f>IFERROR(__xludf.DUMMYFUNCTION("""COMPUTED_VALUE"""),"")</f>
        <v/>
      </c>
    </row>
    <row r="163">
      <c r="A163" s="2"/>
      <c r="B163" s="2"/>
      <c r="C163" s="2" t="str">
        <f t="shared" si="1"/>
        <v> </v>
      </c>
      <c r="D163" s="2" t="str">
        <f>IFERROR(__xludf.DUMMYFUNCTION("""COMPUTED_VALUE"""),"")</f>
        <v/>
      </c>
      <c r="E163" s="2" t="str">
        <f>IFERROR(__xludf.DUMMYFUNCTION("""COMPUTED_VALUE"""),"")</f>
        <v/>
      </c>
    </row>
    <row r="164">
      <c r="A164" s="2"/>
      <c r="B164" s="2"/>
      <c r="C164" s="2" t="str">
        <f t="shared" si="1"/>
        <v> </v>
      </c>
      <c r="D164" s="2" t="str">
        <f>IFERROR(__xludf.DUMMYFUNCTION("""COMPUTED_VALUE"""),"")</f>
        <v/>
      </c>
      <c r="E164" s="2" t="str">
        <f>IFERROR(__xludf.DUMMYFUNCTION("""COMPUTED_VALUE"""),"")</f>
        <v/>
      </c>
    </row>
    <row r="165">
      <c r="A165" s="2"/>
      <c r="B165" s="2"/>
      <c r="C165" s="2" t="str">
        <f t="shared" si="1"/>
        <v> </v>
      </c>
      <c r="D165" s="2" t="str">
        <f>IFERROR(__xludf.DUMMYFUNCTION("""COMPUTED_VALUE"""),"")</f>
        <v/>
      </c>
      <c r="E165" s="2" t="str">
        <f>IFERROR(__xludf.DUMMYFUNCTION("""COMPUTED_VALUE"""),"")</f>
        <v/>
      </c>
    </row>
    <row r="166">
      <c r="A166" s="2"/>
      <c r="B166" s="2"/>
      <c r="C166" s="2" t="str">
        <f t="shared" si="1"/>
        <v> </v>
      </c>
      <c r="D166" s="2" t="str">
        <f>IFERROR(__xludf.DUMMYFUNCTION("""COMPUTED_VALUE"""),"")</f>
        <v/>
      </c>
      <c r="E166" s="2" t="str">
        <f>IFERROR(__xludf.DUMMYFUNCTION("""COMPUTED_VALUE"""),"")</f>
        <v/>
      </c>
    </row>
    <row r="167">
      <c r="A167" s="2"/>
      <c r="B167" s="2"/>
      <c r="C167" s="2" t="str">
        <f t="shared" si="1"/>
        <v> </v>
      </c>
      <c r="D167" s="2" t="str">
        <f>IFERROR(__xludf.DUMMYFUNCTION("""COMPUTED_VALUE"""),"")</f>
        <v/>
      </c>
      <c r="E167" s="2" t="str">
        <f>IFERROR(__xludf.DUMMYFUNCTION("""COMPUTED_VALUE"""),"")</f>
        <v/>
      </c>
    </row>
    <row r="168">
      <c r="A168" s="2"/>
      <c r="B168" s="2"/>
      <c r="C168" s="2" t="str">
        <f t="shared" si="1"/>
        <v> </v>
      </c>
      <c r="D168" s="2" t="str">
        <f>IFERROR(__xludf.DUMMYFUNCTION("""COMPUTED_VALUE"""),"")</f>
        <v/>
      </c>
      <c r="E168" s="2" t="str">
        <f>IFERROR(__xludf.DUMMYFUNCTION("""COMPUTED_VALUE"""),"")</f>
        <v/>
      </c>
    </row>
    <row r="169">
      <c r="A169" s="2"/>
      <c r="B169" s="2"/>
      <c r="C169" s="2" t="str">
        <f t="shared" si="1"/>
        <v> </v>
      </c>
      <c r="D169" s="2" t="str">
        <f>IFERROR(__xludf.DUMMYFUNCTION("""COMPUTED_VALUE"""),"")</f>
        <v/>
      </c>
      <c r="E169" s="2" t="str">
        <f>IFERROR(__xludf.DUMMYFUNCTION("""COMPUTED_VALUE"""),"")</f>
        <v/>
      </c>
    </row>
    <row r="170">
      <c r="A170" s="2"/>
      <c r="B170" s="2"/>
      <c r="C170" s="2" t="str">
        <f t="shared" si="1"/>
        <v> </v>
      </c>
      <c r="D170" s="2" t="str">
        <f>IFERROR(__xludf.DUMMYFUNCTION("""COMPUTED_VALUE"""),"")</f>
        <v/>
      </c>
      <c r="E170" s="2" t="str">
        <f>IFERROR(__xludf.DUMMYFUNCTION("""COMPUTED_VALUE"""),"")</f>
        <v/>
      </c>
    </row>
    <row r="171">
      <c r="A171" s="2"/>
      <c r="B171" s="2"/>
      <c r="C171" s="2" t="str">
        <f t="shared" si="1"/>
        <v> </v>
      </c>
      <c r="D171" s="2" t="str">
        <f>IFERROR(__xludf.DUMMYFUNCTION("""COMPUTED_VALUE"""),"")</f>
        <v/>
      </c>
      <c r="E171" s="2" t="str">
        <f>IFERROR(__xludf.DUMMYFUNCTION("""COMPUTED_VALUE"""),"")</f>
        <v/>
      </c>
    </row>
    <row r="172">
      <c r="A172" s="2"/>
      <c r="B172" s="2"/>
      <c r="C172" s="2" t="str">
        <f t="shared" si="1"/>
        <v> </v>
      </c>
      <c r="D172" s="2" t="str">
        <f>IFERROR(__xludf.DUMMYFUNCTION("""COMPUTED_VALUE"""),"")</f>
        <v/>
      </c>
      <c r="E172" s="2" t="str">
        <f>IFERROR(__xludf.DUMMYFUNCTION("""COMPUTED_VALUE"""),"")</f>
        <v/>
      </c>
    </row>
    <row r="173">
      <c r="A173" s="2"/>
      <c r="B173" s="2"/>
      <c r="C173" s="2" t="str">
        <f t="shared" si="1"/>
        <v> </v>
      </c>
      <c r="D173" s="2" t="str">
        <f>IFERROR(__xludf.DUMMYFUNCTION("""COMPUTED_VALUE"""),"")</f>
        <v/>
      </c>
      <c r="E173" s="2" t="str">
        <f>IFERROR(__xludf.DUMMYFUNCTION("""COMPUTED_VALUE"""),"")</f>
        <v/>
      </c>
    </row>
    <row r="174">
      <c r="A174" s="2"/>
      <c r="B174" s="2"/>
      <c r="C174" s="2" t="str">
        <f t="shared" si="1"/>
        <v> </v>
      </c>
      <c r="D174" s="2" t="str">
        <f>IFERROR(__xludf.DUMMYFUNCTION("""COMPUTED_VALUE"""),"")</f>
        <v/>
      </c>
      <c r="E174" s="2" t="str">
        <f>IFERROR(__xludf.DUMMYFUNCTION("""COMPUTED_VALUE"""),"")</f>
        <v/>
      </c>
    </row>
    <row r="175">
      <c r="A175" s="2"/>
      <c r="B175" s="2"/>
      <c r="C175" s="2" t="str">
        <f t="shared" si="1"/>
        <v> </v>
      </c>
      <c r="D175" s="2" t="str">
        <f>IFERROR(__xludf.DUMMYFUNCTION("""COMPUTED_VALUE"""),"")</f>
        <v/>
      </c>
      <c r="E175" s="2" t="str">
        <f>IFERROR(__xludf.DUMMYFUNCTION("""COMPUTED_VALUE"""),"")</f>
        <v/>
      </c>
    </row>
    <row r="176">
      <c r="A176" s="2"/>
      <c r="B176" s="2"/>
      <c r="C176" s="2" t="str">
        <f t="shared" si="1"/>
        <v> </v>
      </c>
      <c r="D176" s="2" t="str">
        <f>IFERROR(__xludf.DUMMYFUNCTION("""COMPUTED_VALUE"""),"")</f>
        <v/>
      </c>
      <c r="E176" s="2" t="str">
        <f>IFERROR(__xludf.DUMMYFUNCTION("""COMPUTED_VALUE"""),"")</f>
        <v/>
      </c>
    </row>
    <row r="177">
      <c r="A177" s="2"/>
      <c r="B177" s="2"/>
      <c r="C177" s="2" t="str">
        <f t="shared" si="1"/>
        <v> </v>
      </c>
      <c r="D177" s="2" t="str">
        <f>IFERROR(__xludf.DUMMYFUNCTION("""COMPUTED_VALUE"""),"")</f>
        <v/>
      </c>
      <c r="E177" s="2" t="str">
        <f>IFERROR(__xludf.DUMMYFUNCTION("""COMPUTED_VALUE"""),"")</f>
        <v/>
      </c>
    </row>
    <row r="178">
      <c r="A178" s="2"/>
      <c r="B178" s="2"/>
      <c r="C178" s="2" t="str">
        <f t="shared" si="1"/>
        <v> </v>
      </c>
      <c r="D178" s="2" t="str">
        <f>IFERROR(__xludf.DUMMYFUNCTION("""COMPUTED_VALUE"""),"")</f>
        <v/>
      </c>
      <c r="E178" s="2" t="str">
        <f>IFERROR(__xludf.DUMMYFUNCTION("""COMPUTED_VALUE"""),"")</f>
        <v/>
      </c>
    </row>
    <row r="179">
      <c r="A179" s="2"/>
      <c r="B179" s="2"/>
      <c r="C179" s="2" t="str">
        <f t="shared" si="1"/>
        <v> </v>
      </c>
      <c r="D179" s="2" t="str">
        <f>IFERROR(__xludf.DUMMYFUNCTION("""COMPUTED_VALUE"""),"")</f>
        <v/>
      </c>
      <c r="E179" s="2" t="str">
        <f>IFERROR(__xludf.DUMMYFUNCTION("""COMPUTED_VALUE"""),"")</f>
        <v/>
      </c>
    </row>
    <row r="180">
      <c r="A180" s="2"/>
      <c r="B180" s="2"/>
      <c r="C180" s="2" t="str">
        <f t="shared" si="1"/>
        <v> </v>
      </c>
      <c r="D180" s="2" t="str">
        <f>IFERROR(__xludf.DUMMYFUNCTION("""COMPUTED_VALUE"""),"")</f>
        <v/>
      </c>
      <c r="E180" s="2" t="str">
        <f>IFERROR(__xludf.DUMMYFUNCTION("""COMPUTED_VALUE"""),"")</f>
        <v/>
      </c>
    </row>
    <row r="181">
      <c r="A181" s="2"/>
      <c r="B181" s="2"/>
      <c r="C181" s="2" t="str">
        <f t="shared" si="1"/>
        <v> </v>
      </c>
      <c r="D181" s="2" t="str">
        <f>IFERROR(__xludf.DUMMYFUNCTION("""COMPUTED_VALUE"""),"")</f>
        <v/>
      </c>
      <c r="E181" s="2" t="str">
        <f>IFERROR(__xludf.DUMMYFUNCTION("""COMPUTED_VALUE"""),"")</f>
        <v/>
      </c>
    </row>
    <row r="182">
      <c r="A182" s="2"/>
      <c r="B182" s="2"/>
      <c r="C182" s="2" t="str">
        <f t="shared" si="1"/>
        <v> </v>
      </c>
      <c r="D182" s="2" t="str">
        <f>IFERROR(__xludf.DUMMYFUNCTION("""COMPUTED_VALUE"""),"")</f>
        <v/>
      </c>
      <c r="E182" s="2" t="str">
        <f>IFERROR(__xludf.DUMMYFUNCTION("""COMPUTED_VALUE"""),"")</f>
        <v/>
      </c>
    </row>
    <row r="183">
      <c r="A183" s="2"/>
      <c r="B183" s="2"/>
      <c r="C183" s="2" t="str">
        <f t="shared" si="1"/>
        <v> </v>
      </c>
      <c r="D183" s="2" t="str">
        <f>IFERROR(__xludf.DUMMYFUNCTION("""COMPUTED_VALUE"""),"")</f>
        <v/>
      </c>
      <c r="E183" s="2" t="str">
        <f>IFERROR(__xludf.DUMMYFUNCTION("""COMPUTED_VALUE"""),"")</f>
        <v/>
      </c>
    </row>
    <row r="184">
      <c r="A184" s="2"/>
      <c r="B184" s="2"/>
      <c r="C184" s="2" t="str">
        <f t="shared" si="1"/>
        <v> </v>
      </c>
      <c r="D184" s="2" t="str">
        <f>IFERROR(__xludf.DUMMYFUNCTION("""COMPUTED_VALUE"""),"")</f>
        <v/>
      </c>
      <c r="E184" s="2" t="str">
        <f>IFERROR(__xludf.DUMMYFUNCTION("""COMPUTED_VALUE"""),"")</f>
        <v/>
      </c>
    </row>
    <row r="185">
      <c r="A185" s="2"/>
      <c r="B185" s="2"/>
      <c r="C185" s="2" t="str">
        <f t="shared" si="1"/>
        <v> </v>
      </c>
      <c r="D185" s="2" t="str">
        <f>IFERROR(__xludf.DUMMYFUNCTION("""COMPUTED_VALUE"""),"")</f>
        <v/>
      </c>
      <c r="E185" s="2" t="str">
        <f>IFERROR(__xludf.DUMMYFUNCTION("""COMPUTED_VALUE"""),"")</f>
        <v/>
      </c>
    </row>
    <row r="186">
      <c r="A186" s="2"/>
      <c r="B186" s="2"/>
      <c r="C186" s="2" t="str">
        <f t="shared" si="1"/>
        <v> </v>
      </c>
      <c r="D186" s="2" t="str">
        <f>IFERROR(__xludf.DUMMYFUNCTION("""COMPUTED_VALUE"""),"")</f>
        <v/>
      </c>
      <c r="E186" s="2" t="str">
        <f>IFERROR(__xludf.DUMMYFUNCTION("""COMPUTED_VALUE"""),"")</f>
        <v/>
      </c>
    </row>
    <row r="187">
      <c r="A187" s="2"/>
      <c r="B187" s="2"/>
      <c r="C187" s="2" t="str">
        <f t="shared" si="1"/>
        <v> </v>
      </c>
      <c r="D187" s="2" t="str">
        <f>IFERROR(__xludf.DUMMYFUNCTION("""COMPUTED_VALUE"""),"")</f>
        <v/>
      </c>
      <c r="E187" s="2" t="str">
        <f>IFERROR(__xludf.DUMMYFUNCTION("""COMPUTED_VALUE"""),"")</f>
        <v/>
      </c>
    </row>
    <row r="188">
      <c r="A188" s="2"/>
      <c r="B188" s="2"/>
      <c r="C188" s="2" t="str">
        <f t="shared" si="1"/>
        <v> </v>
      </c>
      <c r="D188" s="2" t="str">
        <f>IFERROR(__xludf.DUMMYFUNCTION("""COMPUTED_VALUE"""),"")</f>
        <v/>
      </c>
      <c r="E188" s="2" t="str">
        <f>IFERROR(__xludf.DUMMYFUNCTION("""COMPUTED_VALUE"""),"")</f>
        <v/>
      </c>
    </row>
    <row r="189">
      <c r="A189" s="2"/>
      <c r="B189" s="2"/>
      <c r="C189" s="2" t="str">
        <f t="shared" si="1"/>
        <v> </v>
      </c>
      <c r="D189" s="2" t="str">
        <f>IFERROR(__xludf.DUMMYFUNCTION("""COMPUTED_VALUE"""),"")</f>
        <v/>
      </c>
      <c r="E189" s="2" t="str">
        <f>IFERROR(__xludf.DUMMYFUNCTION("""COMPUTED_VALUE"""),"")</f>
        <v/>
      </c>
    </row>
    <row r="190">
      <c r="A190" s="2"/>
      <c r="B190" s="2"/>
      <c r="C190" s="2" t="str">
        <f t="shared" si="1"/>
        <v> </v>
      </c>
      <c r="D190" s="2" t="str">
        <f>IFERROR(__xludf.DUMMYFUNCTION("""COMPUTED_VALUE"""),"")</f>
        <v/>
      </c>
      <c r="E190" s="2" t="str">
        <f>IFERROR(__xludf.DUMMYFUNCTION("""COMPUTED_VALUE"""),"")</f>
        <v/>
      </c>
    </row>
    <row r="191">
      <c r="A191" s="2"/>
      <c r="B191" s="2"/>
      <c r="C191" s="2" t="str">
        <f t="shared" si="1"/>
        <v> </v>
      </c>
      <c r="D191" s="2" t="str">
        <f>IFERROR(__xludf.DUMMYFUNCTION("""COMPUTED_VALUE"""),"")</f>
        <v/>
      </c>
      <c r="E191" s="2" t="str">
        <f>IFERROR(__xludf.DUMMYFUNCTION("""COMPUTED_VALUE"""),"")</f>
        <v/>
      </c>
    </row>
    <row r="192">
      <c r="A192" s="2"/>
      <c r="B192" s="2"/>
      <c r="C192" s="2" t="str">
        <f t="shared" si="1"/>
        <v> </v>
      </c>
      <c r="D192" s="2" t="str">
        <f>IFERROR(__xludf.DUMMYFUNCTION("""COMPUTED_VALUE"""),"")</f>
        <v/>
      </c>
      <c r="E192" s="2" t="str">
        <f>IFERROR(__xludf.DUMMYFUNCTION("""COMPUTED_VALUE"""),"")</f>
        <v/>
      </c>
    </row>
    <row r="193">
      <c r="A193" s="2"/>
      <c r="B193" s="2"/>
      <c r="C193" s="2" t="str">
        <f t="shared" si="1"/>
        <v> </v>
      </c>
      <c r="D193" s="2" t="str">
        <f>IFERROR(__xludf.DUMMYFUNCTION("""COMPUTED_VALUE"""),"")</f>
        <v/>
      </c>
      <c r="E193" s="2" t="str">
        <f>IFERROR(__xludf.DUMMYFUNCTION("""COMPUTED_VALUE"""),"")</f>
        <v/>
      </c>
    </row>
    <row r="194">
      <c r="A194" s="2"/>
      <c r="B194" s="2"/>
      <c r="C194" s="2" t="str">
        <f t="shared" si="1"/>
        <v> </v>
      </c>
      <c r="D194" s="2" t="str">
        <f>IFERROR(__xludf.DUMMYFUNCTION("""COMPUTED_VALUE"""),"")</f>
        <v/>
      </c>
      <c r="E194" s="2" t="str">
        <f>IFERROR(__xludf.DUMMYFUNCTION("""COMPUTED_VALUE"""),"")</f>
        <v/>
      </c>
    </row>
    <row r="195">
      <c r="A195" s="2"/>
      <c r="B195" s="2"/>
      <c r="C195" s="2" t="str">
        <f t="shared" si="1"/>
        <v> </v>
      </c>
      <c r="D195" s="2" t="str">
        <f>IFERROR(__xludf.DUMMYFUNCTION("""COMPUTED_VALUE"""),"")</f>
        <v/>
      </c>
      <c r="E195" s="2" t="str">
        <f>IFERROR(__xludf.DUMMYFUNCTION("""COMPUTED_VALUE"""),"")</f>
        <v/>
      </c>
    </row>
    <row r="196">
      <c r="A196" s="2"/>
      <c r="B196" s="2"/>
      <c r="C196" s="2" t="str">
        <f t="shared" si="1"/>
        <v> </v>
      </c>
      <c r="D196" s="2" t="str">
        <f>IFERROR(__xludf.DUMMYFUNCTION("""COMPUTED_VALUE"""),"")</f>
        <v/>
      </c>
      <c r="E196" s="2" t="str">
        <f>IFERROR(__xludf.DUMMYFUNCTION("""COMPUTED_VALUE"""),"")</f>
        <v/>
      </c>
    </row>
    <row r="197">
      <c r="A197" s="2"/>
      <c r="B197" s="2"/>
      <c r="C197" s="2" t="str">
        <f t="shared" si="1"/>
        <v> </v>
      </c>
      <c r="D197" s="2" t="str">
        <f>IFERROR(__xludf.DUMMYFUNCTION("""COMPUTED_VALUE"""),"")</f>
        <v/>
      </c>
      <c r="E197" s="2" t="str">
        <f>IFERROR(__xludf.DUMMYFUNCTION("""COMPUTED_VALUE"""),"")</f>
        <v/>
      </c>
    </row>
    <row r="198">
      <c r="A198" s="2"/>
      <c r="B198" s="2"/>
      <c r="C198" s="2" t="str">
        <f t="shared" si="1"/>
        <v> </v>
      </c>
      <c r="D198" s="2" t="str">
        <f>IFERROR(__xludf.DUMMYFUNCTION("""COMPUTED_VALUE"""),"")</f>
        <v/>
      </c>
      <c r="E198" s="2" t="str">
        <f>IFERROR(__xludf.DUMMYFUNCTION("""COMPUTED_VALUE"""),"")</f>
        <v/>
      </c>
    </row>
    <row r="199">
      <c r="A199" s="2"/>
      <c r="B199" s="2"/>
      <c r="C199" s="2" t="str">
        <f t="shared" si="1"/>
        <v> </v>
      </c>
      <c r="D199" s="2" t="str">
        <f>IFERROR(__xludf.DUMMYFUNCTION("""COMPUTED_VALUE"""),"")</f>
        <v/>
      </c>
      <c r="E199" s="2" t="str">
        <f>IFERROR(__xludf.DUMMYFUNCTION("""COMPUTED_VALUE"""),"")</f>
        <v/>
      </c>
    </row>
    <row r="200">
      <c r="A200" s="2"/>
      <c r="B200" s="2"/>
      <c r="C200" s="2" t="str">
        <f t="shared" si="1"/>
        <v> </v>
      </c>
      <c r="D200" s="2" t="str">
        <f>IFERROR(__xludf.DUMMYFUNCTION("""COMPUTED_VALUE"""),"")</f>
        <v/>
      </c>
      <c r="E200" s="2" t="str">
        <f>IFERROR(__xludf.DUMMYFUNCTION("""COMPUTED_VALUE"""),"")</f>
        <v/>
      </c>
    </row>
    <row r="201">
      <c r="A201" s="2"/>
      <c r="B201" s="2"/>
      <c r="C201" s="2" t="str">
        <f t="shared" si="1"/>
        <v> </v>
      </c>
      <c r="D201" s="2" t="str">
        <f>IFERROR(__xludf.DUMMYFUNCTION("""COMPUTED_VALUE"""),"")</f>
        <v/>
      </c>
      <c r="E201" s="2" t="str">
        <f>IFERROR(__xludf.DUMMYFUNCTION("""COMPUTED_VALUE"""),"")</f>
        <v/>
      </c>
    </row>
    <row r="202">
      <c r="A202" s="2"/>
      <c r="B202" s="2"/>
      <c r="C202" s="2" t="str">
        <f t="shared" si="1"/>
        <v> </v>
      </c>
      <c r="D202" s="2" t="str">
        <f>IFERROR(__xludf.DUMMYFUNCTION("""COMPUTED_VALUE"""),"")</f>
        <v/>
      </c>
      <c r="E202" s="2" t="str">
        <f>IFERROR(__xludf.DUMMYFUNCTION("""COMPUTED_VALUE"""),"")</f>
        <v/>
      </c>
    </row>
    <row r="203">
      <c r="A203" s="2"/>
      <c r="B203" s="2"/>
      <c r="C203" s="2" t="str">
        <f t="shared" si="1"/>
        <v> </v>
      </c>
      <c r="D203" s="2" t="str">
        <f>IFERROR(__xludf.DUMMYFUNCTION("""COMPUTED_VALUE"""),"")</f>
        <v/>
      </c>
      <c r="E203" s="2" t="str">
        <f>IFERROR(__xludf.DUMMYFUNCTION("""COMPUTED_VALUE"""),"")</f>
        <v/>
      </c>
    </row>
    <row r="204">
      <c r="A204" s="2"/>
      <c r="B204" s="2"/>
      <c r="C204" s="2" t="str">
        <f t="shared" si="1"/>
        <v> </v>
      </c>
      <c r="D204" s="2" t="str">
        <f>IFERROR(__xludf.DUMMYFUNCTION("""COMPUTED_VALUE"""),"")</f>
        <v/>
      </c>
      <c r="E204" s="2" t="str">
        <f>IFERROR(__xludf.DUMMYFUNCTION("""COMPUTED_VALUE"""),"")</f>
        <v/>
      </c>
    </row>
    <row r="205">
      <c r="A205" s="2"/>
      <c r="B205" s="2"/>
      <c r="C205" s="2" t="str">
        <f t="shared" si="1"/>
        <v> </v>
      </c>
      <c r="D205" s="2" t="str">
        <f>IFERROR(__xludf.DUMMYFUNCTION("""COMPUTED_VALUE"""),"")</f>
        <v/>
      </c>
      <c r="E205" s="2" t="str">
        <f>IFERROR(__xludf.DUMMYFUNCTION("""COMPUTED_VALUE"""),"")</f>
        <v/>
      </c>
    </row>
    <row r="206">
      <c r="A206" s="2"/>
      <c r="B206" s="2"/>
      <c r="C206" s="2" t="str">
        <f t="shared" si="1"/>
        <v> </v>
      </c>
      <c r="D206" s="2" t="str">
        <f>IFERROR(__xludf.DUMMYFUNCTION("""COMPUTED_VALUE"""),"")</f>
        <v/>
      </c>
      <c r="E206" s="2" t="str">
        <f>IFERROR(__xludf.DUMMYFUNCTION("""COMPUTED_VALUE"""),"")</f>
        <v/>
      </c>
    </row>
    <row r="207">
      <c r="A207" s="2"/>
      <c r="B207" s="2"/>
      <c r="C207" s="2" t="str">
        <f t="shared" si="1"/>
        <v> </v>
      </c>
      <c r="D207" s="2" t="str">
        <f>IFERROR(__xludf.DUMMYFUNCTION("""COMPUTED_VALUE"""),"")</f>
        <v/>
      </c>
      <c r="E207" s="2" t="str">
        <f>IFERROR(__xludf.DUMMYFUNCTION("""COMPUTED_VALUE"""),"")</f>
        <v/>
      </c>
    </row>
    <row r="208">
      <c r="A208" s="2"/>
      <c r="B208" s="2"/>
      <c r="C208" s="2" t="str">
        <f t="shared" si="1"/>
        <v> </v>
      </c>
      <c r="D208" s="2" t="str">
        <f>IFERROR(__xludf.DUMMYFUNCTION("""COMPUTED_VALUE"""),"")</f>
        <v/>
      </c>
      <c r="E208" s="2" t="str">
        <f>IFERROR(__xludf.DUMMYFUNCTION("""COMPUTED_VALUE"""),"")</f>
        <v/>
      </c>
    </row>
    <row r="209">
      <c r="A209" s="2"/>
      <c r="B209" s="2"/>
      <c r="C209" s="2" t="str">
        <f t="shared" si="1"/>
        <v> </v>
      </c>
      <c r="D209" s="2" t="str">
        <f>IFERROR(__xludf.DUMMYFUNCTION("""COMPUTED_VALUE"""),"")</f>
        <v/>
      </c>
      <c r="E209" s="2" t="str">
        <f>IFERROR(__xludf.DUMMYFUNCTION("""COMPUTED_VALUE"""),"")</f>
        <v/>
      </c>
    </row>
    <row r="210">
      <c r="A210" s="2"/>
      <c r="B210" s="2"/>
      <c r="C210" s="2" t="str">
        <f t="shared" si="1"/>
        <v> </v>
      </c>
      <c r="D210" s="2" t="str">
        <f>IFERROR(__xludf.DUMMYFUNCTION("""COMPUTED_VALUE"""),"")</f>
        <v/>
      </c>
      <c r="E210" s="2" t="str">
        <f>IFERROR(__xludf.DUMMYFUNCTION("""COMPUTED_VALUE"""),"")</f>
        <v/>
      </c>
    </row>
    <row r="211">
      <c r="A211" s="2"/>
      <c r="B211" s="2"/>
      <c r="C211" s="2" t="str">
        <f t="shared" si="1"/>
        <v> </v>
      </c>
      <c r="D211" s="2" t="str">
        <f>IFERROR(__xludf.DUMMYFUNCTION("""COMPUTED_VALUE"""),"")</f>
        <v/>
      </c>
      <c r="E211" s="2" t="str">
        <f>IFERROR(__xludf.DUMMYFUNCTION("""COMPUTED_VALUE"""),"")</f>
        <v/>
      </c>
    </row>
    <row r="212">
      <c r="A212" s="2"/>
      <c r="B212" s="2"/>
      <c r="C212" s="2" t="str">
        <f t="shared" si="1"/>
        <v> </v>
      </c>
      <c r="D212" s="2" t="str">
        <f>IFERROR(__xludf.DUMMYFUNCTION("""COMPUTED_VALUE"""),"")</f>
        <v/>
      </c>
      <c r="E212" s="2" t="str">
        <f>IFERROR(__xludf.DUMMYFUNCTION("""COMPUTED_VALUE"""),"")</f>
        <v/>
      </c>
    </row>
    <row r="213">
      <c r="A213" s="2"/>
      <c r="B213" s="2"/>
      <c r="C213" s="2" t="str">
        <f t="shared" si="1"/>
        <v> </v>
      </c>
      <c r="D213" s="2" t="str">
        <f>IFERROR(__xludf.DUMMYFUNCTION("""COMPUTED_VALUE"""),"")</f>
        <v/>
      </c>
      <c r="E213" s="2" t="str">
        <f>IFERROR(__xludf.DUMMYFUNCTION("""COMPUTED_VALUE"""),"")</f>
        <v/>
      </c>
    </row>
    <row r="214">
      <c r="A214" s="2"/>
      <c r="B214" s="2"/>
      <c r="C214" s="2" t="str">
        <f t="shared" si="1"/>
        <v> </v>
      </c>
      <c r="D214" s="2" t="str">
        <f>IFERROR(__xludf.DUMMYFUNCTION("""COMPUTED_VALUE"""),"")</f>
        <v/>
      </c>
      <c r="E214" s="2" t="str">
        <f>IFERROR(__xludf.DUMMYFUNCTION("""COMPUTED_VALUE"""),"")</f>
        <v/>
      </c>
    </row>
    <row r="215">
      <c r="A215" s="2"/>
      <c r="B215" s="2"/>
      <c r="C215" s="2" t="str">
        <f t="shared" si="1"/>
        <v> </v>
      </c>
      <c r="D215" s="2" t="str">
        <f>IFERROR(__xludf.DUMMYFUNCTION("""COMPUTED_VALUE"""),"")</f>
        <v/>
      </c>
      <c r="E215" s="2" t="str">
        <f>IFERROR(__xludf.DUMMYFUNCTION("""COMPUTED_VALUE"""),"")</f>
        <v/>
      </c>
    </row>
    <row r="216">
      <c r="A216" s="2"/>
      <c r="B216" s="2"/>
      <c r="C216" s="2" t="str">
        <f t="shared" si="1"/>
        <v> </v>
      </c>
      <c r="D216" s="2" t="str">
        <f>IFERROR(__xludf.DUMMYFUNCTION("""COMPUTED_VALUE"""),"")</f>
        <v/>
      </c>
      <c r="E216" s="2" t="str">
        <f>IFERROR(__xludf.DUMMYFUNCTION("""COMPUTED_VALUE"""),"")</f>
        <v/>
      </c>
    </row>
    <row r="217">
      <c r="A217" s="2"/>
      <c r="B217" s="2"/>
      <c r="C217" s="2" t="str">
        <f t="shared" si="1"/>
        <v> </v>
      </c>
      <c r="D217" s="2" t="str">
        <f>IFERROR(__xludf.DUMMYFUNCTION("""COMPUTED_VALUE"""),"")</f>
        <v/>
      </c>
      <c r="E217" s="2" t="str">
        <f>IFERROR(__xludf.DUMMYFUNCTION("""COMPUTED_VALUE"""),"")</f>
        <v/>
      </c>
    </row>
    <row r="218">
      <c r="A218" s="2"/>
      <c r="B218" s="2"/>
      <c r="C218" s="2" t="str">
        <f t="shared" si="1"/>
        <v> </v>
      </c>
      <c r="D218" s="2" t="str">
        <f>IFERROR(__xludf.DUMMYFUNCTION("""COMPUTED_VALUE"""),"")</f>
        <v/>
      </c>
      <c r="E218" s="2" t="str">
        <f>IFERROR(__xludf.DUMMYFUNCTION("""COMPUTED_VALUE"""),"")</f>
        <v/>
      </c>
    </row>
    <row r="219">
      <c r="A219" s="2"/>
      <c r="B219" s="2"/>
      <c r="C219" s="2" t="str">
        <f t="shared" si="1"/>
        <v> </v>
      </c>
      <c r="D219" s="2" t="str">
        <f>IFERROR(__xludf.DUMMYFUNCTION("""COMPUTED_VALUE"""),"")</f>
        <v/>
      </c>
      <c r="E219" s="2" t="str">
        <f>IFERROR(__xludf.DUMMYFUNCTION("""COMPUTED_VALUE"""),"")</f>
        <v/>
      </c>
    </row>
    <row r="220">
      <c r="A220" s="2"/>
      <c r="B220" s="2"/>
      <c r="C220" s="2" t="str">
        <f t="shared" si="1"/>
        <v> </v>
      </c>
      <c r="D220" s="2" t="str">
        <f>IFERROR(__xludf.DUMMYFUNCTION("""COMPUTED_VALUE"""),"")</f>
        <v/>
      </c>
      <c r="E220" s="2" t="str">
        <f>IFERROR(__xludf.DUMMYFUNCTION("""COMPUTED_VALUE"""),"")</f>
        <v/>
      </c>
    </row>
    <row r="221">
      <c r="A221" s="2"/>
      <c r="B221" s="2"/>
      <c r="C221" s="2" t="str">
        <f t="shared" si="1"/>
        <v> </v>
      </c>
      <c r="D221" s="2" t="str">
        <f>IFERROR(__xludf.DUMMYFUNCTION("""COMPUTED_VALUE"""),"")</f>
        <v/>
      </c>
      <c r="E221" s="2" t="str">
        <f>IFERROR(__xludf.DUMMYFUNCTION("""COMPUTED_VALUE"""),"")</f>
        <v/>
      </c>
    </row>
    <row r="222">
      <c r="A222" s="2"/>
      <c r="B222" s="2"/>
      <c r="C222" s="2" t="str">
        <f t="shared" si="1"/>
        <v> </v>
      </c>
      <c r="D222" s="2" t="str">
        <f>IFERROR(__xludf.DUMMYFUNCTION("""COMPUTED_VALUE"""),"")</f>
        <v/>
      </c>
      <c r="E222" s="2" t="str">
        <f>IFERROR(__xludf.DUMMYFUNCTION("""COMPUTED_VALUE"""),"")</f>
        <v/>
      </c>
    </row>
    <row r="223">
      <c r="A223" s="2"/>
      <c r="B223" s="2"/>
      <c r="C223" s="2" t="str">
        <f t="shared" si="1"/>
        <v> </v>
      </c>
      <c r="D223" s="2" t="str">
        <f>IFERROR(__xludf.DUMMYFUNCTION("""COMPUTED_VALUE"""),"")</f>
        <v/>
      </c>
      <c r="E223" s="2" t="str">
        <f>IFERROR(__xludf.DUMMYFUNCTION("""COMPUTED_VALUE"""),"")</f>
        <v/>
      </c>
    </row>
    <row r="224">
      <c r="A224" s="2"/>
      <c r="B224" s="2"/>
      <c r="C224" s="2" t="str">
        <f t="shared" si="1"/>
        <v> </v>
      </c>
      <c r="D224" s="2" t="str">
        <f>IFERROR(__xludf.DUMMYFUNCTION("""COMPUTED_VALUE"""),"")</f>
        <v/>
      </c>
      <c r="E224" s="2" t="str">
        <f>IFERROR(__xludf.DUMMYFUNCTION("""COMPUTED_VALUE"""),"")</f>
        <v/>
      </c>
    </row>
    <row r="225">
      <c r="A225" s="2"/>
      <c r="B225" s="2"/>
      <c r="C225" s="2" t="str">
        <f t="shared" si="1"/>
        <v> </v>
      </c>
      <c r="D225" s="2" t="str">
        <f>IFERROR(__xludf.DUMMYFUNCTION("""COMPUTED_VALUE"""),"")</f>
        <v/>
      </c>
      <c r="E225" s="2" t="str">
        <f>IFERROR(__xludf.DUMMYFUNCTION("""COMPUTED_VALUE"""),"")</f>
        <v/>
      </c>
    </row>
    <row r="226">
      <c r="A226" s="2"/>
      <c r="B226" s="2"/>
      <c r="C226" s="2" t="str">
        <f t="shared" si="1"/>
        <v> </v>
      </c>
      <c r="D226" s="2" t="str">
        <f>IFERROR(__xludf.DUMMYFUNCTION("""COMPUTED_VALUE"""),"")</f>
        <v/>
      </c>
      <c r="E226" s="2" t="str">
        <f>IFERROR(__xludf.DUMMYFUNCTION("""COMPUTED_VALUE"""),"")</f>
        <v/>
      </c>
    </row>
    <row r="227">
      <c r="A227" s="2"/>
      <c r="B227" s="2"/>
      <c r="C227" s="2" t="str">
        <f t="shared" si="1"/>
        <v> </v>
      </c>
      <c r="D227" s="2" t="str">
        <f>IFERROR(__xludf.DUMMYFUNCTION("""COMPUTED_VALUE"""),"")</f>
        <v/>
      </c>
      <c r="E227" s="2" t="str">
        <f>IFERROR(__xludf.DUMMYFUNCTION("""COMPUTED_VALUE"""),"")</f>
        <v/>
      </c>
    </row>
    <row r="228">
      <c r="A228" s="2"/>
      <c r="B228" s="2"/>
      <c r="C228" s="2" t="str">
        <f t="shared" si="1"/>
        <v> </v>
      </c>
      <c r="D228" s="2" t="str">
        <f>IFERROR(__xludf.DUMMYFUNCTION("""COMPUTED_VALUE"""),"")</f>
        <v/>
      </c>
      <c r="E228" s="2" t="str">
        <f>IFERROR(__xludf.DUMMYFUNCTION("""COMPUTED_VALUE"""),"")</f>
        <v/>
      </c>
    </row>
    <row r="229">
      <c r="A229" s="2"/>
      <c r="B229" s="2"/>
      <c r="C229" s="2" t="str">
        <f t="shared" si="1"/>
        <v> </v>
      </c>
      <c r="D229" s="2" t="str">
        <f>IFERROR(__xludf.DUMMYFUNCTION("""COMPUTED_VALUE"""),"")</f>
        <v/>
      </c>
      <c r="E229" s="2" t="str">
        <f>IFERROR(__xludf.DUMMYFUNCTION("""COMPUTED_VALUE"""),"")</f>
        <v/>
      </c>
    </row>
    <row r="230">
      <c r="A230" s="2"/>
      <c r="B230" s="2"/>
      <c r="C230" s="2" t="str">
        <f t="shared" si="1"/>
        <v> </v>
      </c>
      <c r="D230" s="2" t="str">
        <f>IFERROR(__xludf.DUMMYFUNCTION("""COMPUTED_VALUE"""),"")</f>
        <v/>
      </c>
      <c r="E230" s="2" t="str">
        <f>IFERROR(__xludf.DUMMYFUNCTION("""COMPUTED_VALUE"""),"")</f>
        <v/>
      </c>
    </row>
    <row r="231">
      <c r="A231" s="2"/>
      <c r="B231" s="2"/>
      <c r="C231" s="2" t="str">
        <f t="shared" si="1"/>
        <v> </v>
      </c>
      <c r="D231" s="2" t="str">
        <f>IFERROR(__xludf.DUMMYFUNCTION("""COMPUTED_VALUE"""),"")</f>
        <v/>
      </c>
      <c r="E231" s="2" t="str">
        <f>IFERROR(__xludf.DUMMYFUNCTION("""COMPUTED_VALUE"""),"")</f>
        <v/>
      </c>
    </row>
    <row r="232">
      <c r="A232" s="2"/>
      <c r="B232" s="2"/>
      <c r="C232" s="2" t="str">
        <f t="shared" si="1"/>
        <v> </v>
      </c>
      <c r="D232" s="2" t="str">
        <f>IFERROR(__xludf.DUMMYFUNCTION("""COMPUTED_VALUE"""),"")</f>
        <v/>
      </c>
      <c r="E232" s="2" t="str">
        <f>IFERROR(__xludf.DUMMYFUNCTION("""COMPUTED_VALUE"""),"")</f>
        <v/>
      </c>
    </row>
    <row r="233">
      <c r="A233" s="2"/>
      <c r="B233" s="2"/>
      <c r="C233" s="2" t="str">
        <f t="shared" si="1"/>
        <v> </v>
      </c>
      <c r="D233" s="2" t="str">
        <f>IFERROR(__xludf.DUMMYFUNCTION("""COMPUTED_VALUE"""),"")</f>
        <v/>
      </c>
      <c r="E233" s="2" t="str">
        <f>IFERROR(__xludf.DUMMYFUNCTION("""COMPUTED_VALUE"""),"")</f>
        <v/>
      </c>
    </row>
    <row r="234">
      <c r="A234" s="2"/>
      <c r="B234" s="2"/>
      <c r="C234" s="2" t="str">
        <f t="shared" si="1"/>
        <v> </v>
      </c>
      <c r="D234" s="2" t="str">
        <f>IFERROR(__xludf.DUMMYFUNCTION("""COMPUTED_VALUE"""),"")</f>
        <v/>
      </c>
      <c r="E234" s="2" t="str">
        <f>IFERROR(__xludf.DUMMYFUNCTION("""COMPUTED_VALUE"""),"")</f>
        <v/>
      </c>
    </row>
    <row r="235">
      <c r="A235" s="2"/>
      <c r="B235" s="2"/>
      <c r="C235" s="2" t="str">
        <f t="shared" si="1"/>
        <v> </v>
      </c>
      <c r="D235" s="2" t="str">
        <f>IFERROR(__xludf.DUMMYFUNCTION("""COMPUTED_VALUE"""),"")</f>
        <v/>
      </c>
      <c r="E235" s="2" t="str">
        <f>IFERROR(__xludf.DUMMYFUNCTION("""COMPUTED_VALUE"""),"")</f>
        <v/>
      </c>
    </row>
    <row r="236">
      <c r="A236" s="2"/>
      <c r="B236" s="2"/>
      <c r="C236" s="2" t="str">
        <f t="shared" si="1"/>
        <v> </v>
      </c>
      <c r="D236" s="2" t="str">
        <f>IFERROR(__xludf.DUMMYFUNCTION("""COMPUTED_VALUE"""),"")</f>
        <v/>
      </c>
      <c r="E236" s="2" t="str">
        <f>IFERROR(__xludf.DUMMYFUNCTION("""COMPUTED_VALUE"""),"")</f>
        <v/>
      </c>
    </row>
    <row r="237">
      <c r="A237" s="2"/>
      <c r="B237" s="2"/>
      <c r="C237" s="2" t="str">
        <f t="shared" si="1"/>
        <v> </v>
      </c>
      <c r="D237" s="2" t="str">
        <f>IFERROR(__xludf.DUMMYFUNCTION("""COMPUTED_VALUE"""),"")</f>
        <v/>
      </c>
      <c r="E237" s="2" t="str">
        <f>IFERROR(__xludf.DUMMYFUNCTION("""COMPUTED_VALUE"""),"")</f>
        <v/>
      </c>
    </row>
    <row r="238">
      <c r="A238" s="2"/>
      <c r="B238" s="2"/>
      <c r="C238" s="2" t="str">
        <f t="shared" si="1"/>
        <v> </v>
      </c>
      <c r="D238" s="2" t="str">
        <f>IFERROR(__xludf.DUMMYFUNCTION("""COMPUTED_VALUE"""),"")</f>
        <v/>
      </c>
      <c r="E238" s="2" t="str">
        <f>IFERROR(__xludf.DUMMYFUNCTION("""COMPUTED_VALUE"""),"")</f>
        <v/>
      </c>
    </row>
    <row r="239">
      <c r="A239" s="2"/>
      <c r="B239" s="2"/>
      <c r="C239" s="2" t="str">
        <f t="shared" si="1"/>
        <v> </v>
      </c>
      <c r="D239" s="2" t="str">
        <f>IFERROR(__xludf.DUMMYFUNCTION("""COMPUTED_VALUE"""),"")</f>
        <v/>
      </c>
      <c r="E239" s="2" t="str">
        <f>IFERROR(__xludf.DUMMYFUNCTION("""COMPUTED_VALUE"""),"")</f>
        <v/>
      </c>
    </row>
    <row r="240">
      <c r="A240" s="2"/>
      <c r="B240" s="2"/>
      <c r="C240" s="2" t="str">
        <f t="shared" si="1"/>
        <v> </v>
      </c>
      <c r="D240" s="2" t="str">
        <f>IFERROR(__xludf.DUMMYFUNCTION("""COMPUTED_VALUE"""),"")</f>
        <v/>
      </c>
      <c r="E240" s="2" t="str">
        <f>IFERROR(__xludf.DUMMYFUNCTION("""COMPUTED_VALUE"""),"")</f>
        <v/>
      </c>
    </row>
    <row r="241">
      <c r="A241" s="2"/>
      <c r="B241" s="2"/>
      <c r="C241" s="2" t="str">
        <f t="shared" si="1"/>
        <v> </v>
      </c>
      <c r="D241" s="2" t="str">
        <f>IFERROR(__xludf.DUMMYFUNCTION("""COMPUTED_VALUE"""),"")</f>
        <v/>
      </c>
      <c r="E241" s="2" t="str">
        <f>IFERROR(__xludf.DUMMYFUNCTION("""COMPUTED_VALUE"""),"")</f>
        <v/>
      </c>
    </row>
    <row r="242">
      <c r="A242" s="2"/>
      <c r="B242" s="2"/>
      <c r="C242" s="2" t="str">
        <f t="shared" si="1"/>
        <v> </v>
      </c>
      <c r="D242" s="2" t="str">
        <f>IFERROR(__xludf.DUMMYFUNCTION("""COMPUTED_VALUE"""),"")</f>
        <v/>
      </c>
      <c r="E242" s="2" t="str">
        <f>IFERROR(__xludf.DUMMYFUNCTION("""COMPUTED_VALUE"""),"")</f>
        <v/>
      </c>
    </row>
    <row r="243">
      <c r="A243" s="2"/>
      <c r="B243" s="2"/>
      <c r="C243" s="2" t="str">
        <f t="shared" si="1"/>
        <v> </v>
      </c>
      <c r="D243" s="2" t="str">
        <f>IFERROR(__xludf.DUMMYFUNCTION("""COMPUTED_VALUE"""),"")</f>
        <v/>
      </c>
      <c r="E243" s="2" t="str">
        <f>IFERROR(__xludf.DUMMYFUNCTION("""COMPUTED_VALUE"""),"")</f>
        <v/>
      </c>
    </row>
    <row r="244">
      <c r="A244" s="2"/>
      <c r="B244" s="2"/>
      <c r="C244" s="2" t="str">
        <f t="shared" si="1"/>
        <v> </v>
      </c>
      <c r="D244" s="2" t="str">
        <f>IFERROR(__xludf.DUMMYFUNCTION("""COMPUTED_VALUE"""),"")</f>
        <v/>
      </c>
      <c r="E244" s="2" t="str">
        <f>IFERROR(__xludf.DUMMYFUNCTION("""COMPUTED_VALUE"""),"")</f>
        <v/>
      </c>
    </row>
    <row r="245">
      <c r="A245" s="2"/>
      <c r="B245" s="2"/>
      <c r="C245" s="2" t="str">
        <f t="shared" si="1"/>
        <v> </v>
      </c>
      <c r="D245" s="2" t="str">
        <f>IFERROR(__xludf.DUMMYFUNCTION("""COMPUTED_VALUE"""),"")</f>
        <v/>
      </c>
      <c r="E245" s="2" t="str">
        <f>IFERROR(__xludf.DUMMYFUNCTION("""COMPUTED_VALUE"""),"")</f>
        <v/>
      </c>
    </row>
    <row r="246">
      <c r="A246" s="2"/>
      <c r="B246" s="2"/>
      <c r="C246" s="2" t="str">
        <f t="shared" si="1"/>
        <v> </v>
      </c>
      <c r="D246" s="2" t="str">
        <f>IFERROR(__xludf.DUMMYFUNCTION("""COMPUTED_VALUE"""),"")</f>
        <v/>
      </c>
      <c r="E246" s="2" t="str">
        <f>IFERROR(__xludf.DUMMYFUNCTION("""COMPUTED_VALUE"""),"")</f>
        <v/>
      </c>
    </row>
    <row r="247">
      <c r="A247" s="2"/>
      <c r="B247" s="2"/>
      <c r="C247" s="2" t="str">
        <f t="shared" si="1"/>
        <v> </v>
      </c>
      <c r="D247" s="2" t="str">
        <f>IFERROR(__xludf.DUMMYFUNCTION("""COMPUTED_VALUE"""),"")</f>
        <v/>
      </c>
      <c r="E247" s="2" t="str">
        <f>IFERROR(__xludf.DUMMYFUNCTION("""COMPUTED_VALUE"""),"")</f>
        <v/>
      </c>
    </row>
    <row r="248">
      <c r="A248" s="2"/>
      <c r="B248" s="2"/>
      <c r="C248" s="2" t="str">
        <f t="shared" si="1"/>
        <v> </v>
      </c>
      <c r="D248" s="2" t="str">
        <f>IFERROR(__xludf.DUMMYFUNCTION("""COMPUTED_VALUE"""),"")</f>
        <v/>
      </c>
      <c r="E248" s="2" t="str">
        <f>IFERROR(__xludf.DUMMYFUNCTION("""COMPUTED_VALUE"""),"")</f>
        <v/>
      </c>
    </row>
    <row r="249">
      <c r="A249" s="2"/>
      <c r="B249" s="2"/>
      <c r="C249" s="2" t="str">
        <f t="shared" si="1"/>
        <v> </v>
      </c>
      <c r="D249" s="2" t="str">
        <f>IFERROR(__xludf.DUMMYFUNCTION("""COMPUTED_VALUE"""),"")</f>
        <v/>
      </c>
      <c r="E249" s="2" t="str">
        <f>IFERROR(__xludf.DUMMYFUNCTION("""COMPUTED_VALUE"""),"")</f>
        <v/>
      </c>
    </row>
    <row r="250">
      <c r="A250" s="2"/>
      <c r="B250" s="2"/>
      <c r="C250" s="2" t="str">
        <f t="shared" si="1"/>
        <v> </v>
      </c>
      <c r="D250" s="2" t="str">
        <f>IFERROR(__xludf.DUMMYFUNCTION("""COMPUTED_VALUE"""),"")</f>
        <v/>
      </c>
      <c r="E250" s="2" t="str">
        <f>IFERROR(__xludf.DUMMYFUNCTION("""COMPUTED_VALUE"""),"")</f>
        <v/>
      </c>
    </row>
    <row r="251">
      <c r="A251" s="2"/>
      <c r="B251" s="2"/>
      <c r="C251" s="2" t="str">
        <f t="shared" si="1"/>
        <v> </v>
      </c>
      <c r="D251" s="2" t="str">
        <f>IFERROR(__xludf.DUMMYFUNCTION("""COMPUTED_VALUE"""),"")</f>
        <v/>
      </c>
      <c r="E251" s="2" t="str">
        <f>IFERROR(__xludf.DUMMYFUNCTION("""COMPUTED_VALUE"""),"")</f>
        <v/>
      </c>
    </row>
    <row r="252">
      <c r="A252" s="2"/>
      <c r="B252" s="2"/>
      <c r="C252" s="2" t="str">
        <f t="shared" si="1"/>
        <v> </v>
      </c>
      <c r="D252" s="2" t="str">
        <f>IFERROR(__xludf.DUMMYFUNCTION("""COMPUTED_VALUE"""),"")</f>
        <v/>
      </c>
      <c r="E252" s="2" t="str">
        <f>IFERROR(__xludf.DUMMYFUNCTION("""COMPUTED_VALUE"""),"")</f>
        <v/>
      </c>
    </row>
    <row r="253">
      <c r="A253" s="2"/>
      <c r="B253" s="2"/>
      <c r="C253" s="2" t="str">
        <f t="shared" si="1"/>
        <v> </v>
      </c>
      <c r="D253" s="2" t="str">
        <f>IFERROR(__xludf.DUMMYFUNCTION("""COMPUTED_VALUE"""),"")</f>
        <v/>
      </c>
      <c r="E253" s="2" t="str">
        <f>IFERROR(__xludf.DUMMYFUNCTION("""COMPUTED_VALUE"""),"")</f>
        <v/>
      </c>
    </row>
    <row r="254">
      <c r="A254" s="2"/>
      <c r="B254" s="2"/>
      <c r="C254" s="2" t="str">
        <f t="shared" si="1"/>
        <v> </v>
      </c>
      <c r="D254" s="2" t="str">
        <f>IFERROR(__xludf.DUMMYFUNCTION("""COMPUTED_VALUE"""),"")</f>
        <v/>
      </c>
      <c r="E254" s="2" t="str">
        <f>IFERROR(__xludf.DUMMYFUNCTION("""COMPUTED_VALUE"""),"")</f>
        <v/>
      </c>
    </row>
    <row r="255">
      <c r="A255" s="2"/>
      <c r="B255" s="2"/>
      <c r="C255" s="2" t="str">
        <f t="shared" si="1"/>
        <v> </v>
      </c>
      <c r="D255" s="2" t="str">
        <f>IFERROR(__xludf.DUMMYFUNCTION("""COMPUTED_VALUE"""),"")</f>
        <v/>
      </c>
      <c r="E255" s="2" t="str">
        <f>IFERROR(__xludf.DUMMYFUNCTION("""COMPUTED_VALUE"""),"")</f>
        <v/>
      </c>
    </row>
    <row r="256">
      <c r="A256" s="2"/>
      <c r="B256" s="2"/>
      <c r="C256" s="2" t="str">
        <f t="shared" si="1"/>
        <v> </v>
      </c>
      <c r="D256" s="2" t="str">
        <f>IFERROR(__xludf.DUMMYFUNCTION("""COMPUTED_VALUE"""),"")</f>
        <v/>
      </c>
      <c r="E256" s="2" t="str">
        <f>IFERROR(__xludf.DUMMYFUNCTION("""COMPUTED_VALUE"""),"")</f>
        <v/>
      </c>
    </row>
    <row r="257">
      <c r="A257" s="2"/>
      <c r="B257" s="2"/>
      <c r="C257" s="2" t="str">
        <f t="shared" si="1"/>
        <v> </v>
      </c>
      <c r="D257" s="2" t="str">
        <f>IFERROR(__xludf.DUMMYFUNCTION("""COMPUTED_VALUE"""),"")</f>
        <v/>
      </c>
      <c r="E257" s="2" t="str">
        <f>IFERROR(__xludf.DUMMYFUNCTION("""COMPUTED_VALUE"""),"")</f>
        <v/>
      </c>
    </row>
    <row r="258">
      <c r="A258" s="2"/>
      <c r="B258" s="2"/>
      <c r="C258" s="2" t="str">
        <f t="shared" si="1"/>
        <v> </v>
      </c>
      <c r="D258" s="2" t="str">
        <f>IFERROR(__xludf.DUMMYFUNCTION("""COMPUTED_VALUE"""),"")</f>
        <v/>
      </c>
      <c r="E258" s="2" t="str">
        <f>IFERROR(__xludf.DUMMYFUNCTION("""COMPUTED_VALUE"""),"")</f>
        <v/>
      </c>
    </row>
    <row r="259">
      <c r="A259" s="2"/>
      <c r="B259" s="2"/>
      <c r="C259" s="2" t="str">
        <f t="shared" si="1"/>
        <v> </v>
      </c>
      <c r="D259" s="2" t="str">
        <f>IFERROR(__xludf.DUMMYFUNCTION("""COMPUTED_VALUE"""),"")</f>
        <v/>
      </c>
      <c r="E259" s="2" t="str">
        <f>IFERROR(__xludf.DUMMYFUNCTION("""COMPUTED_VALUE"""),"")</f>
        <v/>
      </c>
    </row>
    <row r="260">
      <c r="A260" s="2"/>
      <c r="B260" s="2"/>
      <c r="C260" s="2" t="str">
        <f t="shared" si="1"/>
        <v> </v>
      </c>
      <c r="D260" s="2" t="str">
        <f>IFERROR(__xludf.DUMMYFUNCTION("""COMPUTED_VALUE"""),"")</f>
        <v/>
      </c>
      <c r="E260" s="2" t="str">
        <f>IFERROR(__xludf.DUMMYFUNCTION("""COMPUTED_VALUE"""),"")</f>
        <v/>
      </c>
    </row>
    <row r="261">
      <c r="A261" s="2"/>
      <c r="B261" s="2"/>
      <c r="C261" s="2" t="str">
        <f t="shared" si="1"/>
        <v> </v>
      </c>
      <c r="D261" s="2" t="str">
        <f>IFERROR(__xludf.DUMMYFUNCTION("""COMPUTED_VALUE"""),"")</f>
        <v/>
      </c>
      <c r="E261" s="2" t="str">
        <f>IFERROR(__xludf.DUMMYFUNCTION("""COMPUTED_VALUE"""),"")</f>
        <v/>
      </c>
    </row>
    <row r="262">
      <c r="A262" s="2"/>
      <c r="B262" s="2"/>
      <c r="C262" s="2" t="str">
        <f t="shared" si="1"/>
        <v> </v>
      </c>
      <c r="D262" s="2" t="str">
        <f>IFERROR(__xludf.DUMMYFUNCTION("""COMPUTED_VALUE"""),"")</f>
        <v/>
      </c>
      <c r="E262" s="2" t="str">
        <f>IFERROR(__xludf.DUMMYFUNCTION("""COMPUTED_VALUE"""),"")</f>
        <v/>
      </c>
    </row>
    <row r="263">
      <c r="A263" s="2"/>
      <c r="B263" s="2"/>
      <c r="C263" s="2" t="str">
        <f t="shared" si="1"/>
        <v> </v>
      </c>
      <c r="D263" s="2" t="str">
        <f>IFERROR(__xludf.DUMMYFUNCTION("""COMPUTED_VALUE"""),"")</f>
        <v/>
      </c>
      <c r="E263" s="2" t="str">
        <f>IFERROR(__xludf.DUMMYFUNCTION("""COMPUTED_VALUE"""),"")</f>
        <v/>
      </c>
    </row>
    <row r="264">
      <c r="A264" s="2"/>
      <c r="B264" s="2"/>
      <c r="C264" s="2" t="str">
        <f t="shared" si="1"/>
        <v> </v>
      </c>
      <c r="D264" s="2" t="str">
        <f>IFERROR(__xludf.DUMMYFUNCTION("""COMPUTED_VALUE"""),"")</f>
        <v/>
      </c>
      <c r="E264" s="2" t="str">
        <f>IFERROR(__xludf.DUMMYFUNCTION("""COMPUTED_VALUE"""),"")</f>
        <v/>
      </c>
    </row>
    <row r="265">
      <c r="A265" s="2"/>
      <c r="B265" s="2"/>
      <c r="C265" s="2" t="str">
        <f t="shared" si="1"/>
        <v> </v>
      </c>
      <c r="D265" s="2" t="str">
        <f>IFERROR(__xludf.DUMMYFUNCTION("""COMPUTED_VALUE"""),"")</f>
        <v/>
      </c>
      <c r="E265" s="2" t="str">
        <f>IFERROR(__xludf.DUMMYFUNCTION("""COMPUTED_VALUE"""),"")</f>
        <v/>
      </c>
    </row>
    <row r="266">
      <c r="A266" s="2"/>
      <c r="B266" s="2"/>
      <c r="C266" s="2" t="str">
        <f t="shared" si="1"/>
        <v> </v>
      </c>
      <c r="D266" s="2" t="str">
        <f>IFERROR(__xludf.DUMMYFUNCTION("""COMPUTED_VALUE"""),"")</f>
        <v/>
      </c>
      <c r="E266" s="2" t="str">
        <f>IFERROR(__xludf.DUMMYFUNCTION("""COMPUTED_VALUE"""),"")</f>
        <v/>
      </c>
    </row>
    <row r="267">
      <c r="A267" s="2"/>
      <c r="B267" s="2"/>
      <c r="C267" s="2" t="str">
        <f t="shared" si="1"/>
        <v> </v>
      </c>
      <c r="D267" s="2" t="str">
        <f>IFERROR(__xludf.DUMMYFUNCTION("""COMPUTED_VALUE"""),"")</f>
        <v/>
      </c>
      <c r="E267" s="2" t="str">
        <f>IFERROR(__xludf.DUMMYFUNCTION("""COMPUTED_VALUE"""),"")</f>
        <v/>
      </c>
    </row>
    <row r="268">
      <c r="A268" s="2"/>
      <c r="B268" s="2"/>
      <c r="C268" s="2" t="str">
        <f t="shared" si="1"/>
        <v> </v>
      </c>
      <c r="D268" s="2" t="str">
        <f>IFERROR(__xludf.DUMMYFUNCTION("""COMPUTED_VALUE"""),"")</f>
        <v/>
      </c>
      <c r="E268" s="2" t="str">
        <f>IFERROR(__xludf.DUMMYFUNCTION("""COMPUTED_VALUE"""),"")</f>
        <v/>
      </c>
    </row>
    <row r="269">
      <c r="A269" s="2"/>
      <c r="B269" s="2"/>
      <c r="C269" s="2" t="str">
        <f t="shared" si="1"/>
        <v> </v>
      </c>
      <c r="D269" s="2" t="str">
        <f>IFERROR(__xludf.DUMMYFUNCTION("""COMPUTED_VALUE"""),"")</f>
        <v/>
      </c>
      <c r="E269" s="2" t="str">
        <f>IFERROR(__xludf.DUMMYFUNCTION("""COMPUTED_VALUE"""),"")</f>
        <v/>
      </c>
    </row>
    <row r="270">
      <c r="A270" s="2"/>
      <c r="B270" s="2"/>
      <c r="C270" s="2" t="str">
        <f t="shared" si="1"/>
        <v> </v>
      </c>
      <c r="D270" s="2" t="str">
        <f>IFERROR(__xludf.DUMMYFUNCTION("""COMPUTED_VALUE"""),"")</f>
        <v/>
      </c>
      <c r="E270" s="2" t="str">
        <f>IFERROR(__xludf.DUMMYFUNCTION("""COMPUTED_VALUE"""),"")</f>
        <v/>
      </c>
    </row>
    <row r="271">
      <c r="A271" s="2"/>
      <c r="B271" s="2"/>
      <c r="C271" s="2" t="str">
        <f t="shared" si="1"/>
        <v> </v>
      </c>
      <c r="D271" s="2" t="str">
        <f>IFERROR(__xludf.DUMMYFUNCTION("""COMPUTED_VALUE"""),"")</f>
        <v/>
      </c>
      <c r="E271" s="2" t="str">
        <f>IFERROR(__xludf.DUMMYFUNCTION("""COMPUTED_VALUE"""),"")</f>
        <v/>
      </c>
    </row>
    <row r="272">
      <c r="A272" s="2"/>
      <c r="B272" s="2"/>
      <c r="C272" s="2" t="str">
        <f t="shared" si="1"/>
        <v> </v>
      </c>
      <c r="D272" s="2" t="str">
        <f>IFERROR(__xludf.DUMMYFUNCTION("""COMPUTED_VALUE"""),"")</f>
        <v/>
      </c>
      <c r="E272" s="2" t="str">
        <f>IFERROR(__xludf.DUMMYFUNCTION("""COMPUTED_VALUE"""),"")</f>
        <v/>
      </c>
    </row>
    <row r="273">
      <c r="A273" s="2"/>
      <c r="B273" s="2"/>
      <c r="C273" s="2" t="str">
        <f t="shared" si="1"/>
        <v> </v>
      </c>
      <c r="D273" s="2" t="str">
        <f>IFERROR(__xludf.DUMMYFUNCTION("""COMPUTED_VALUE"""),"")</f>
        <v/>
      </c>
      <c r="E273" s="2" t="str">
        <f>IFERROR(__xludf.DUMMYFUNCTION("""COMPUTED_VALUE"""),"")</f>
        <v/>
      </c>
    </row>
    <row r="274">
      <c r="A274" s="2"/>
      <c r="B274" s="2"/>
      <c r="C274" s="2" t="str">
        <f t="shared" si="1"/>
        <v> </v>
      </c>
      <c r="D274" s="2" t="str">
        <f>IFERROR(__xludf.DUMMYFUNCTION("""COMPUTED_VALUE"""),"")</f>
        <v/>
      </c>
      <c r="E274" s="2" t="str">
        <f>IFERROR(__xludf.DUMMYFUNCTION("""COMPUTED_VALUE"""),"")</f>
        <v/>
      </c>
    </row>
    <row r="275">
      <c r="A275" s="2"/>
      <c r="B275" s="2"/>
      <c r="C275" s="2" t="str">
        <f t="shared" si="1"/>
        <v> </v>
      </c>
      <c r="D275" s="2" t="str">
        <f>IFERROR(__xludf.DUMMYFUNCTION("""COMPUTED_VALUE"""),"")</f>
        <v/>
      </c>
      <c r="E275" s="2" t="str">
        <f>IFERROR(__xludf.DUMMYFUNCTION("""COMPUTED_VALUE"""),"")</f>
        <v/>
      </c>
    </row>
    <row r="276">
      <c r="A276" s="2"/>
      <c r="B276" s="2"/>
      <c r="C276" s="2" t="str">
        <f t="shared" si="1"/>
        <v> </v>
      </c>
      <c r="D276" s="2" t="str">
        <f>IFERROR(__xludf.DUMMYFUNCTION("""COMPUTED_VALUE"""),"")</f>
        <v/>
      </c>
      <c r="E276" s="2" t="str">
        <f>IFERROR(__xludf.DUMMYFUNCTION("""COMPUTED_VALUE"""),"")</f>
        <v/>
      </c>
    </row>
    <row r="277">
      <c r="A277" s="2"/>
      <c r="B277" s="2"/>
      <c r="C277" s="2" t="str">
        <f t="shared" si="1"/>
        <v> </v>
      </c>
      <c r="D277" s="2" t="str">
        <f>IFERROR(__xludf.DUMMYFUNCTION("""COMPUTED_VALUE"""),"")</f>
        <v/>
      </c>
      <c r="E277" s="2" t="str">
        <f>IFERROR(__xludf.DUMMYFUNCTION("""COMPUTED_VALUE"""),"")</f>
        <v/>
      </c>
    </row>
    <row r="278">
      <c r="A278" s="2"/>
      <c r="B278" s="2"/>
      <c r="C278" s="2" t="str">
        <f t="shared" si="1"/>
        <v> </v>
      </c>
      <c r="D278" s="2" t="str">
        <f>IFERROR(__xludf.DUMMYFUNCTION("""COMPUTED_VALUE"""),"")</f>
        <v/>
      </c>
      <c r="E278" s="2" t="str">
        <f>IFERROR(__xludf.DUMMYFUNCTION("""COMPUTED_VALUE"""),"")</f>
        <v/>
      </c>
    </row>
    <row r="279">
      <c r="A279" s="2"/>
      <c r="B279" s="2"/>
      <c r="C279" s="2" t="str">
        <f t="shared" si="1"/>
        <v> </v>
      </c>
      <c r="D279" s="2" t="str">
        <f>IFERROR(__xludf.DUMMYFUNCTION("""COMPUTED_VALUE"""),"")</f>
        <v/>
      </c>
      <c r="E279" s="2" t="str">
        <f>IFERROR(__xludf.DUMMYFUNCTION("""COMPUTED_VALUE"""),"")</f>
        <v/>
      </c>
    </row>
    <row r="280">
      <c r="A280" s="2"/>
      <c r="B280" s="2"/>
      <c r="C280" s="2" t="str">
        <f t="shared" si="1"/>
        <v> </v>
      </c>
      <c r="D280" s="2" t="str">
        <f>IFERROR(__xludf.DUMMYFUNCTION("""COMPUTED_VALUE"""),"")</f>
        <v/>
      </c>
      <c r="E280" s="2" t="str">
        <f>IFERROR(__xludf.DUMMYFUNCTION("""COMPUTED_VALUE"""),"")</f>
        <v/>
      </c>
    </row>
    <row r="281">
      <c r="A281" s="2"/>
      <c r="B281" s="2"/>
      <c r="C281" s="2" t="str">
        <f t="shared" si="1"/>
        <v> </v>
      </c>
      <c r="D281" s="2" t="str">
        <f>IFERROR(__xludf.DUMMYFUNCTION("""COMPUTED_VALUE"""),"")</f>
        <v/>
      </c>
      <c r="E281" s="2" t="str">
        <f>IFERROR(__xludf.DUMMYFUNCTION("""COMPUTED_VALUE"""),"")</f>
        <v/>
      </c>
    </row>
    <row r="282">
      <c r="A282" s="2"/>
      <c r="B282" s="2"/>
      <c r="C282" s="2" t="str">
        <f t="shared" si="1"/>
        <v> </v>
      </c>
      <c r="D282" s="2" t="str">
        <f>IFERROR(__xludf.DUMMYFUNCTION("""COMPUTED_VALUE"""),"")</f>
        <v/>
      </c>
      <c r="E282" s="2" t="str">
        <f>IFERROR(__xludf.DUMMYFUNCTION("""COMPUTED_VALUE"""),"")</f>
        <v/>
      </c>
    </row>
    <row r="283">
      <c r="A283" s="2"/>
      <c r="B283" s="2"/>
      <c r="C283" s="2" t="str">
        <f t="shared" si="1"/>
        <v> </v>
      </c>
      <c r="D283" s="2" t="str">
        <f>IFERROR(__xludf.DUMMYFUNCTION("""COMPUTED_VALUE"""),"")</f>
        <v/>
      </c>
      <c r="E283" s="2" t="str">
        <f>IFERROR(__xludf.DUMMYFUNCTION("""COMPUTED_VALUE"""),"")</f>
        <v/>
      </c>
    </row>
    <row r="284">
      <c r="A284" s="2"/>
      <c r="B284" s="2"/>
      <c r="C284" s="2" t="str">
        <f t="shared" si="1"/>
        <v> </v>
      </c>
      <c r="D284" s="2" t="str">
        <f>IFERROR(__xludf.DUMMYFUNCTION("""COMPUTED_VALUE"""),"")</f>
        <v/>
      </c>
      <c r="E284" s="2" t="str">
        <f>IFERROR(__xludf.DUMMYFUNCTION("""COMPUTED_VALUE"""),"")</f>
        <v/>
      </c>
    </row>
    <row r="285">
      <c r="A285" s="2"/>
      <c r="B285" s="2"/>
      <c r="C285" s="2" t="str">
        <f t="shared" si="1"/>
        <v> </v>
      </c>
      <c r="D285" s="2" t="str">
        <f>IFERROR(__xludf.DUMMYFUNCTION("""COMPUTED_VALUE"""),"")</f>
        <v/>
      </c>
      <c r="E285" s="2" t="str">
        <f>IFERROR(__xludf.DUMMYFUNCTION("""COMPUTED_VALUE"""),"")</f>
        <v/>
      </c>
    </row>
    <row r="286">
      <c r="A286" s="2"/>
      <c r="B286" s="2"/>
      <c r="C286" s="2" t="str">
        <f t="shared" si="1"/>
        <v> </v>
      </c>
      <c r="D286" s="2" t="str">
        <f>IFERROR(__xludf.DUMMYFUNCTION("""COMPUTED_VALUE"""),"")</f>
        <v/>
      </c>
      <c r="E286" s="2" t="str">
        <f>IFERROR(__xludf.DUMMYFUNCTION("""COMPUTED_VALUE"""),"")</f>
        <v/>
      </c>
    </row>
    <row r="287">
      <c r="A287" s="2"/>
      <c r="B287" s="2"/>
      <c r="C287" s="2" t="str">
        <f t="shared" si="1"/>
        <v> </v>
      </c>
      <c r="D287" s="2" t="str">
        <f>IFERROR(__xludf.DUMMYFUNCTION("""COMPUTED_VALUE"""),"")</f>
        <v/>
      </c>
      <c r="E287" s="2" t="str">
        <f>IFERROR(__xludf.DUMMYFUNCTION("""COMPUTED_VALUE"""),"")</f>
        <v/>
      </c>
    </row>
    <row r="288">
      <c r="A288" s="2"/>
      <c r="B288" s="2"/>
      <c r="C288" s="2" t="str">
        <f t="shared" si="1"/>
        <v> </v>
      </c>
      <c r="D288" s="2" t="str">
        <f>IFERROR(__xludf.DUMMYFUNCTION("""COMPUTED_VALUE"""),"")</f>
        <v/>
      </c>
      <c r="E288" s="2" t="str">
        <f>IFERROR(__xludf.DUMMYFUNCTION("""COMPUTED_VALUE"""),"")</f>
        <v/>
      </c>
    </row>
    <row r="289">
      <c r="A289" s="2"/>
      <c r="B289" s="2"/>
      <c r="C289" s="2" t="str">
        <f t="shared" si="1"/>
        <v> </v>
      </c>
      <c r="D289" s="2" t="str">
        <f>IFERROR(__xludf.DUMMYFUNCTION("""COMPUTED_VALUE"""),"")</f>
        <v/>
      </c>
      <c r="E289" s="2" t="str">
        <f>IFERROR(__xludf.DUMMYFUNCTION("""COMPUTED_VALUE"""),"")</f>
        <v/>
      </c>
    </row>
    <row r="290">
      <c r="A290" s="2"/>
      <c r="B290" s="2"/>
      <c r="C290" s="2" t="str">
        <f t="shared" si="1"/>
        <v> </v>
      </c>
      <c r="D290" s="2" t="str">
        <f>IFERROR(__xludf.DUMMYFUNCTION("""COMPUTED_VALUE"""),"")</f>
        <v/>
      </c>
      <c r="E290" s="2" t="str">
        <f>IFERROR(__xludf.DUMMYFUNCTION("""COMPUTED_VALUE"""),"")</f>
        <v/>
      </c>
    </row>
    <row r="291">
      <c r="A291" s="2"/>
      <c r="B291" s="2"/>
      <c r="C291" s="2" t="str">
        <f t="shared" si="1"/>
        <v> </v>
      </c>
      <c r="D291" s="2" t="str">
        <f>IFERROR(__xludf.DUMMYFUNCTION("""COMPUTED_VALUE"""),"")</f>
        <v/>
      </c>
      <c r="E291" s="2" t="str">
        <f>IFERROR(__xludf.DUMMYFUNCTION("""COMPUTED_VALUE"""),"")</f>
        <v/>
      </c>
    </row>
    <row r="292">
      <c r="A292" s="2"/>
      <c r="B292" s="2"/>
      <c r="C292" s="2" t="str">
        <f t="shared" si="1"/>
        <v> </v>
      </c>
      <c r="D292" s="2" t="str">
        <f>IFERROR(__xludf.DUMMYFUNCTION("""COMPUTED_VALUE"""),"")</f>
        <v/>
      </c>
      <c r="E292" s="2" t="str">
        <f>IFERROR(__xludf.DUMMYFUNCTION("""COMPUTED_VALUE"""),"")</f>
        <v/>
      </c>
    </row>
    <row r="293">
      <c r="A293" s="2"/>
      <c r="B293" s="2"/>
      <c r="C293" s="2" t="str">
        <f t="shared" si="1"/>
        <v> </v>
      </c>
      <c r="D293" s="2" t="str">
        <f>IFERROR(__xludf.DUMMYFUNCTION("""COMPUTED_VALUE"""),"")</f>
        <v/>
      </c>
      <c r="E293" s="2" t="str">
        <f>IFERROR(__xludf.DUMMYFUNCTION("""COMPUTED_VALUE"""),"")</f>
        <v/>
      </c>
    </row>
    <row r="294">
      <c r="A294" s="2"/>
      <c r="B294" s="2"/>
      <c r="C294" s="2" t="str">
        <f t="shared" si="1"/>
        <v> </v>
      </c>
      <c r="D294" s="2" t="str">
        <f>IFERROR(__xludf.DUMMYFUNCTION("""COMPUTED_VALUE"""),"")</f>
        <v/>
      </c>
      <c r="E294" s="2" t="str">
        <f>IFERROR(__xludf.DUMMYFUNCTION("""COMPUTED_VALUE"""),"")</f>
        <v/>
      </c>
    </row>
    <row r="295">
      <c r="A295" s="2"/>
      <c r="B295" s="2"/>
      <c r="C295" s="2" t="str">
        <f t="shared" si="1"/>
        <v> </v>
      </c>
      <c r="D295" s="2" t="str">
        <f>IFERROR(__xludf.DUMMYFUNCTION("""COMPUTED_VALUE"""),"")</f>
        <v/>
      </c>
      <c r="E295" s="2" t="str">
        <f>IFERROR(__xludf.DUMMYFUNCTION("""COMPUTED_VALUE"""),"")</f>
        <v/>
      </c>
    </row>
    <row r="296">
      <c r="A296" s="2"/>
      <c r="B296" s="2"/>
      <c r="C296" s="2" t="str">
        <f t="shared" si="1"/>
        <v> </v>
      </c>
      <c r="D296" s="2" t="str">
        <f>IFERROR(__xludf.DUMMYFUNCTION("""COMPUTED_VALUE"""),"")</f>
        <v/>
      </c>
      <c r="E296" s="2" t="str">
        <f>IFERROR(__xludf.DUMMYFUNCTION("""COMPUTED_VALUE"""),"")</f>
        <v/>
      </c>
    </row>
    <row r="297">
      <c r="A297" s="2"/>
      <c r="B297" s="2"/>
      <c r="C297" s="2" t="str">
        <f t="shared" si="1"/>
        <v> </v>
      </c>
      <c r="D297" s="2" t="str">
        <f>IFERROR(__xludf.DUMMYFUNCTION("""COMPUTED_VALUE"""),"")</f>
        <v/>
      </c>
      <c r="E297" s="2" t="str">
        <f>IFERROR(__xludf.DUMMYFUNCTION("""COMPUTED_VALUE"""),"")</f>
        <v/>
      </c>
    </row>
    <row r="298">
      <c r="A298" s="2"/>
      <c r="B298" s="2"/>
      <c r="C298" s="2" t="str">
        <f t="shared" si="1"/>
        <v> </v>
      </c>
      <c r="D298" s="2" t="str">
        <f>IFERROR(__xludf.DUMMYFUNCTION("""COMPUTED_VALUE"""),"")</f>
        <v/>
      </c>
      <c r="E298" s="2" t="str">
        <f>IFERROR(__xludf.DUMMYFUNCTION("""COMPUTED_VALUE"""),"")</f>
        <v/>
      </c>
    </row>
    <row r="299">
      <c r="A299" s="2"/>
      <c r="B299" s="2"/>
      <c r="C299" s="2" t="str">
        <f t="shared" si="1"/>
        <v> </v>
      </c>
      <c r="D299" s="2" t="str">
        <f>IFERROR(__xludf.DUMMYFUNCTION("""COMPUTED_VALUE"""),"")</f>
        <v/>
      </c>
      <c r="E299" s="2" t="str">
        <f>IFERROR(__xludf.DUMMYFUNCTION("""COMPUTED_VALUE"""),"")</f>
        <v/>
      </c>
    </row>
    <row r="300">
      <c r="A300" s="2"/>
      <c r="B300" s="2"/>
      <c r="C300" s="2" t="str">
        <f t="shared" si="1"/>
        <v> </v>
      </c>
      <c r="D300" s="2" t="str">
        <f>IFERROR(__xludf.DUMMYFUNCTION("""COMPUTED_VALUE"""),"")</f>
        <v/>
      </c>
      <c r="E300" s="2" t="str">
        <f>IFERROR(__xludf.DUMMYFUNCTION("""COMPUTED_VALUE"""),"")</f>
        <v/>
      </c>
    </row>
    <row r="301">
      <c r="A301" s="2"/>
      <c r="B301" s="2"/>
      <c r="C301" s="2" t="str">
        <f t="shared" si="1"/>
        <v> </v>
      </c>
      <c r="D301" s="2" t="str">
        <f>IFERROR(__xludf.DUMMYFUNCTION("""COMPUTED_VALUE"""),"")</f>
        <v/>
      </c>
      <c r="E301" s="2" t="str">
        <f>IFERROR(__xludf.DUMMYFUNCTION("""COMPUTED_VALUE"""),"")</f>
        <v/>
      </c>
    </row>
    <row r="302">
      <c r="A302" s="2"/>
      <c r="B302" s="2"/>
      <c r="C302" s="2" t="str">
        <f t="shared" si="1"/>
        <v> </v>
      </c>
      <c r="D302" s="2" t="str">
        <f>IFERROR(__xludf.DUMMYFUNCTION("""COMPUTED_VALUE"""),"")</f>
        <v/>
      </c>
      <c r="E302" s="2" t="str">
        <f>IFERROR(__xludf.DUMMYFUNCTION("""COMPUTED_VALUE"""),"")</f>
        <v/>
      </c>
    </row>
    <row r="303">
      <c r="A303" s="2"/>
      <c r="B303" s="2"/>
      <c r="C303" s="2" t="str">
        <f t="shared" si="1"/>
        <v> </v>
      </c>
      <c r="D303" s="2" t="str">
        <f>IFERROR(__xludf.DUMMYFUNCTION("""COMPUTED_VALUE"""),"")</f>
        <v/>
      </c>
      <c r="E303" s="2" t="str">
        <f>IFERROR(__xludf.DUMMYFUNCTION("""COMPUTED_VALUE"""),"")</f>
        <v/>
      </c>
    </row>
    <row r="304">
      <c r="A304" s="2"/>
      <c r="B304" s="2"/>
      <c r="C304" s="2" t="str">
        <f t="shared" si="1"/>
        <v> </v>
      </c>
      <c r="D304" s="2" t="str">
        <f>IFERROR(__xludf.DUMMYFUNCTION("""COMPUTED_VALUE"""),"")</f>
        <v/>
      </c>
      <c r="E304" s="2" t="str">
        <f>IFERROR(__xludf.DUMMYFUNCTION("""COMPUTED_VALUE"""),"")</f>
        <v/>
      </c>
    </row>
    <row r="305">
      <c r="A305" s="2"/>
      <c r="B305" s="2"/>
      <c r="C305" s="2" t="str">
        <f t="shared" si="1"/>
        <v> </v>
      </c>
      <c r="D305" s="2" t="str">
        <f>IFERROR(__xludf.DUMMYFUNCTION("""COMPUTED_VALUE"""),"")</f>
        <v/>
      </c>
      <c r="E305" s="2" t="str">
        <f>IFERROR(__xludf.DUMMYFUNCTION("""COMPUTED_VALUE"""),"")</f>
        <v/>
      </c>
    </row>
    <row r="306">
      <c r="A306" s="2"/>
      <c r="B306" s="2"/>
      <c r="C306" s="2" t="str">
        <f t="shared" si="1"/>
        <v> </v>
      </c>
      <c r="D306" s="2" t="str">
        <f>IFERROR(__xludf.DUMMYFUNCTION("""COMPUTED_VALUE"""),"")</f>
        <v/>
      </c>
      <c r="E306" s="2" t="str">
        <f>IFERROR(__xludf.DUMMYFUNCTION("""COMPUTED_VALUE"""),"")</f>
        <v/>
      </c>
    </row>
    <row r="307">
      <c r="A307" s="2"/>
      <c r="B307" s="2"/>
      <c r="C307" s="2" t="str">
        <f t="shared" si="1"/>
        <v> </v>
      </c>
      <c r="D307" s="2" t="str">
        <f>IFERROR(__xludf.DUMMYFUNCTION("""COMPUTED_VALUE"""),"")</f>
        <v/>
      </c>
      <c r="E307" s="2" t="str">
        <f>IFERROR(__xludf.DUMMYFUNCTION("""COMPUTED_VALUE"""),"")</f>
        <v/>
      </c>
    </row>
    <row r="308">
      <c r="A308" s="2"/>
      <c r="B308" s="2"/>
      <c r="C308" s="2" t="str">
        <f t="shared" si="1"/>
        <v> </v>
      </c>
      <c r="D308" s="2" t="str">
        <f>IFERROR(__xludf.DUMMYFUNCTION("""COMPUTED_VALUE"""),"")</f>
        <v/>
      </c>
      <c r="E308" s="2" t="str">
        <f>IFERROR(__xludf.DUMMYFUNCTION("""COMPUTED_VALUE"""),"")</f>
        <v/>
      </c>
    </row>
    <row r="309">
      <c r="A309" s="2"/>
      <c r="B309" s="2"/>
      <c r="C309" s="2" t="str">
        <f t="shared" si="1"/>
        <v> </v>
      </c>
      <c r="D309" s="2" t="str">
        <f>IFERROR(__xludf.DUMMYFUNCTION("""COMPUTED_VALUE"""),"")</f>
        <v/>
      </c>
      <c r="E309" s="2" t="str">
        <f>IFERROR(__xludf.DUMMYFUNCTION("""COMPUTED_VALUE"""),"")</f>
        <v/>
      </c>
    </row>
    <row r="310">
      <c r="A310" s="2"/>
      <c r="B310" s="2"/>
      <c r="C310" s="2" t="str">
        <f t="shared" si="1"/>
        <v> </v>
      </c>
      <c r="D310" s="2" t="str">
        <f>IFERROR(__xludf.DUMMYFUNCTION("""COMPUTED_VALUE"""),"")</f>
        <v/>
      </c>
      <c r="E310" s="2" t="str">
        <f>IFERROR(__xludf.DUMMYFUNCTION("""COMPUTED_VALUE"""),"")</f>
        <v/>
      </c>
    </row>
    <row r="311">
      <c r="A311" s="2"/>
      <c r="B311" s="2"/>
      <c r="C311" s="2" t="str">
        <f t="shared" si="1"/>
        <v> </v>
      </c>
      <c r="D311" s="2" t="str">
        <f>IFERROR(__xludf.DUMMYFUNCTION("""COMPUTED_VALUE"""),"")</f>
        <v/>
      </c>
      <c r="E311" s="2" t="str">
        <f>IFERROR(__xludf.DUMMYFUNCTION("""COMPUTED_VALUE"""),"")</f>
        <v/>
      </c>
    </row>
    <row r="312">
      <c r="A312" s="2"/>
      <c r="B312" s="2"/>
      <c r="C312" s="2" t="str">
        <f t="shared" si="1"/>
        <v> </v>
      </c>
      <c r="D312" s="2" t="str">
        <f>IFERROR(__xludf.DUMMYFUNCTION("""COMPUTED_VALUE"""),"")</f>
        <v/>
      </c>
      <c r="E312" s="2" t="str">
        <f>IFERROR(__xludf.DUMMYFUNCTION("""COMPUTED_VALUE"""),"")</f>
        <v/>
      </c>
    </row>
    <row r="313">
      <c r="A313" s="2"/>
      <c r="B313" s="2"/>
      <c r="C313" s="2" t="str">
        <f t="shared" si="1"/>
        <v> </v>
      </c>
      <c r="D313" s="2" t="str">
        <f>IFERROR(__xludf.DUMMYFUNCTION("""COMPUTED_VALUE"""),"")</f>
        <v/>
      </c>
      <c r="E313" s="2" t="str">
        <f>IFERROR(__xludf.DUMMYFUNCTION("""COMPUTED_VALUE"""),"")</f>
        <v/>
      </c>
    </row>
    <row r="314">
      <c r="A314" s="2"/>
      <c r="B314" s="2"/>
      <c r="C314" s="2" t="str">
        <f t="shared" si="1"/>
        <v> </v>
      </c>
      <c r="D314" s="2" t="str">
        <f>IFERROR(__xludf.DUMMYFUNCTION("""COMPUTED_VALUE"""),"")</f>
        <v/>
      </c>
      <c r="E314" s="2" t="str">
        <f>IFERROR(__xludf.DUMMYFUNCTION("""COMPUTED_VALUE"""),"")</f>
        <v/>
      </c>
    </row>
    <row r="315">
      <c r="A315" s="2"/>
      <c r="B315" s="2"/>
      <c r="C315" s="2" t="str">
        <f t="shared" si="1"/>
        <v> </v>
      </c>
      <c r="D315" s="2" t="str">
        <f>IFERROR(__xludf.DUMMYFUNCTION("""COMPUTED_VALUE"""),"")</f>
        <v/>
      </c>
      <c r="E315" s="2" t="str">
        <f>IFERROR(__xludf.DUMMYFUNCTION("""COMPUTED_VALUE"""),"")</f>
        <v/>
      </c>
    </row>
    <row r="316">
      <c r="A316" s="2"/>
      <c r="B316" s="2"/>
      <c r="C316" s="2" t="str">
        <f t="shared" si="1"/>
        <v> </v>
      </c>
      <c r="D316" s="2" t="str">
        <f>IFERROR(__xludf.DUMMYFUNCTION("""COMPUTED_VALUE"""),"")</f>
        <v/>
      </c>
      <c r="E316" s="2" t="str">
        <f>IFERROR(__xludf.DUMMYFUNCTION("""COMPUTED_VALUE"""),"")</f>
        <v/>
      </c>
    </row>
    <row r="317">
      <c r="A317" s="2"/>
      <c r="B317" s="2"/>
      <c r="C317" s="2" t="str">
        <f t="shared" si="1"/>
        <v> </v>
      </c>
      <c r="D317" s="2" t="str">
        <f>IFERROR(__xludf.DUMMYFUNCTION("""COMPUTED_VALUE"""),"")</f>
        <v/>
      </c>
      <c r="E317" s="2" t="str">
        <f>IFERROR(__xludf.DUMMYFUNCTION("""COMPUTED_VALUE"""),"")</f>
        <v/>
      </c>
    </row>
    <row r="318">
      <c r="A318" s="2"/>
      <c r="B318" s="2"/>
      <c r="C318" s="2" t="str">
        <f t="shared" si="1"/>
        <v> </v>
      </c>
      <c r="D318" s="2" t="str">
        <f>IFERROR(__xludf.DUMMYFUNCTION("""COMPUTED_VALUE"""),"")</f>
        <v/>
      </c>
      <c r="E318" s="2" t="str">
        <f>IFERROR(__xludf.DUMMYFUNCTION("""COMPUTED_VALUE"""),"")</f>
        <v/>
      </c>
    </row>
    <row r="319">
      <c r="A319" s="2"/>
      <c r="B319" s="2"/>
      <c r="C319" s="2" t="str">
        <f t="shared" si="1"/>
        <v> </v>
      </c>
      <c r="D319" s="2" t="str">
        <f>IFERROR(__xludf.DUMMYFUNCTION("""COMPUTED_VALUE"""),"")</f>
        <v/>
      </c>
      <c r="E319" s="2" t="str">
        <f>IFERROR(__xludf.DUMMYFUNCTION("""COMPUTED_VALUE"""),"")</f>
        <v/>
      </c>
    </row>
    <row r="320">
      <c r="A320" s="2"/>
      <c r="B320" s="2"/>
      <c r="C320" s="2" t="str">
        <f t="shared" si="1"/>
        <v> </v>
      </c>
      <c r="D320" s="2" t="str">
        <f>IFERROR(__xludf.DUMMYFUNCTION("""COMPUTED_VALUE"""),"")</f>
        <v/>
      </c>
      <c r="E320" s="2" t="str">
        <f>IFERROR(__xludf.DUMMYFUNCTION("""COMPUTED_VALUE"""),"")</f>
        <v/>
      </c>
    </row>
    <row r="321">
      <c r="A321" s="2"/>
      <c r="B321" s="2"/>
      <c r="C321" s="2" t="str">
        <f t="shared" si="1"/>
        <v> </v>
      </c>
      <c r="D321" s="2" t="str">
        <f>IFERROR(__xludf.DUMMYFUNCTION("""COMPUTED_VALUE"""),"")</f>
        <v/>
      </c>
      <c r="E321" s="2" t="str">
        <f>IFERROR(__xludf.DUMMYFUNCTION("""COMPUTED_VALUE"""),"")</f>
        <v/>
      </c>
    </row>
    <row r="322">
      <c r="A322" s="2"/>
      <c r="B322" s="2"/>
      <c r="C322" s="2" t="str">
        <f t="shared" si="1"/>
        <v> </v>
      </c>
      <c r="D322" s="2" t="str">
        <f>IFERROR(__xludf.DUMMYFUNCTION("""COMPUTED_VALUE"""),"")</f>
        <v/>
      </c>
      <c r="E322" s="2" t="str">
        <f>IFERROR(__xludf.DUMMYFUNCTION("""COMPUTED_VALUE"""),"")</f>
        <v/>
      </c>
    </row>
    <row r="323">
      <c r="A323" s="2"/>
      <c r="B323" s="2"/>
      <c r="C323" s="2" t="str">
        <f t="shared" si="1"/>
        <v> </v>
      </c>
      <c r="D323" s="2" t="str">
        <f>IFERROR(__xludf.DUMMYFUNCTION("""COMPUTED_VALUE"""),"")</f>
        <v/>
      </c>
      <c r="E323" s="2" t="str">
        <f>IFERROR(__xludf.DUMMYFUNCTION("""COMPUTED_VALUE"""),"")</f>
        <v/>
      </c>
    </row>
    <row r="324">
      <c r="A324" s="2"/>
      <c r="B324" s="2"/>
      <c r="C324" s="2" t="str">
        <f t="shared" si="1"/>
        <v> </v>
      </c>
      <c r="D324" s="2" t="str">
        <f>IFERROR(__xludf.DUMMYFUNCTION("""COMPUTED_VALUE"""),"")</f>
        <v/>
      </c>
      <c r="E324" s="2" t="str">
        <f>IFERROR(__xludf.DUMMYFUNCTION("""COMPUTED_VALUE"""),"")</f>
        <v/>
      </c>
    </row>
    <row r="325">
      <c r="A325" s="2"/>
      <c r="B325" s="2"/>
      <c r="C325" s="2" t="str">
        <f t="shared" si="1"/>
        <v> </v>
      </c>
      <c r="D325" s="2" t="str">
        <f>IFERROR(__xludf.DUMMYFUNCTION("""COMPUTED_VALUE"""),"")</f>
        <v/>
      </c>
      <c r="E325" s="2" t="str">
        <f>IFERROR(__xludf.DUMMYFUNCTION("""COMPUTED_VALUE"""),"")</f>
        <v/>
      </c>
    </row>
    <row r="326">
      <c r="A326" s="2"/>
      <c r="B326" s="2"/>
      <c r="C326" s="2" t="str">
        <f t="shared" si="1"/>
        <v> </v>
      </c>
      <c r="D326" s="2" t="str">
        <f>IFERROR(__xludf.DUMMYFUNCTION("""COMPUTED_VALUE"""),"")</f>
        <v/>
      </c>
      <c r="E326" s="2" t="str">
        <f>IFERROR(__xludf.DUMMYFUNCTION("""COMPUTED_VALUE"""),"")</f>
        <v/>
      </c>
    </row>
    <row r="327">
      <c r="A327" s="2"/>
      <c r="B327" s="2"/>
      <c r="C327" s="2" t="str">
        <f t="shared" si="1"/>
        <v> </v>
      </c>
      <c r="D327" s="2" t="str">
        <f>IFERROR(__xludf.DUMMYFUNCTION("""COMPUTED_VALUE"""),"")</f>
        <v/>
      </c>
      <c r="E327" s="2" t="str">
        <f>IFERROR(__xludf.DUMMYFUNCTION("""COMPUTED_VALUE"""),"")</f>
        <v/>
      </c>
    </row>
    <row r="328">
      <c r="A328" s="2"/>
      <c r="B328" s="2"/>
      <c r="C328" s="2" t="str">
        <f t="shared" si="1"/>
        <v> </v>
      </c>
      <c r="D328" s="2" t="str">
        <f>IFERROR(__xludf.DUMMYFUNCTION("""COMPUTED_VALUE"""),"")</f>
        <v/>
      </c>
      <c r="E328" s="2" t="str">
        <f>IFERROR(__xludf.DUMMYFUNCTION("""COMPUTED_VALUE"""),"")</f>
        <v/>
      </c>
    </row>
    <row r="329">
      <c r="A329" s="2"/>
      <c r="B329" s="2"/>
      <c r="C329" s="2" t="str">
        <f t="shared" si="1"/>
        <v> </v>
      </c>
      <c r="D329" s="2" t="str">
        <f>IFERROR(__xludf.DUMMYFUNCTION("""COMPUTED_VALUE"""),"")</f>
        <v/>
      </c>
      <c r="E329" s="2" t="str">
        <f>IFERROR(__xludf.DUMMYFUNCTION("""COMPUTED_VALUE"""),"")</f>
        <v/>
      </c>
    </row>
    <row r="330">
      <c r="A330" s="2"/>
      <c r="B330" s="2"/>
      <c r="C330" s="2" t="str">
        <f t="shared" si="1"/>
        <v> </v>
      </c>
      <c r="D330" s="2" t="str">
        <f>IFERROR(__xludf.DUMMYFUNCTION("""COMPUTED_VALUE"""),"")</f>
        <v/>
      </c>
      <c r="E330" s="2" t="str">
        <f>IFERROR(__xludf.DUMMYFUNCTION("""COMPUTED_VALUE"""),"")</f>
        <v/>
      </c>
    </row>
    <row r="331">
      <c r="A331" s="2"/>
      <c r="B331" s="2"/>
      <c r="C331" s="2" t="str">
        <f t="shared" si="1"/>
        <v> </v>
      </c>
      <c r="D331" s="2" t="str">
        <f>IFERROR(__xludf.DUMMYFUNCTION("""COMPUTED_VALUE"""),"")</f>
        <v/>
      </c>
      <c r="E331" s="2" t="str">
        <f>IFERROR(__xludf.DUMMYFUNCTION("""COMPUTED_VALUE"""),"")</f>
        <v/>
      </c>
    </row>
    <row r="332">
      <c r="A332" s="2"/>
      <c r="B332" s="2"/>
      <c r="C332" s="2" t="str">
        <f t="shared" si="1"/>
        <v> </v>
      </c>
      <c r="D332" s="2" t="str">
        <f>IFERROR(__xludf.DUMMYFUNCTION("""COMPUTED_VALUE"""),"")</f>
        <v/>
      </c>
      <c r="E332" s="2" t="str">
        <f>IFERROR(__xludf.DUMMYFUNCTION("""COMPUTED_VALUE"""),"")</f>
        <v/>
      </c>
    </row>
    <row r="333">
      <c r="A333" s="2"/>
      <c r="B333" s="2"/>
      <c r="C333" s="2" t="str">
        <f t="shared" si="1"/>
        <v> </v>
      </c>
      <c r="D333" s="2" t="str">
        <f>IFERROR(__xludf.DUMMYFUNCTION("""COMPUTED_VALUE"""),"")</f>
        <v/>
      </c>
      <c r="E333" s="2" t="str">
        <f>IFERROR(__xludf.DUMMYFUNCTION("""COMPUTED_VALUE"""),"")</f>
        <v/>
      </c>
    </row>
    <row r="334">
      <c r="A334" s="2"/>
      <c r="B334" s="2"/>
      <c r="C334" s="2" t="str">
        <f t="shared" si="1"/>
        <v> </v>
      </c>
      <c r="D334" s="2" t="str">
        <f>IFERROR(__xludf.DUMMYFUNCTION("""COMPUTED_VALUE"""),"")</f>
        <v/>
      </c>
      <c r="E334" s="2" t="str">
        <f>IFERROR(__xludf.DUMMYFUNCTION("""COMPUTED_VALUE"""),"")</f>
        <v/>
      </c>
    </row>
    <row r="335">
      <c r="A335" s="2"/>
      <c r="B335" s="2"/>
      <c r="C335" s="2" t="str">
        <f t="shared" si="1"/>
        <v> </v>
      </c>
      <c r="D335" s="2" t="str">
        <f>IFERROR(__xludf.DUMMYFUNCTION("""COMPUTED_VALUE"""),"")</f>
        <v/>
      </c>
      <c r="E335" s="2" t="str">
        <f>IFERROR(__xludf.DUMMYFUNCTION("""COMPUTED_VALUE"""),"")</f>
        <v/>
      </c>
    </row>
    <row r="336">
      <c r="A336" s="2"/>
      <c r="B336" s="2"/>
      <c r="C336" s="2" t="str">
        <f t="shared" si="1"/>
        <v> </v>
      </c>
      <c r="D336" s="2" t="str">
        <f>IFERROR(__xludf.DUMMYFUNCTION("""COMPUTED_VALUE"""),"")</f>
        <v/>
      </c>
      <c r="E336" s="2" t="str">
        <f>IFERROR(__xludf.DUMMYFUNCTION("""COMPUTED_VALUE"""),"")</f>
        <v/>
      </c>
    </row>
    <row r="337">
      <c r="A337" s="2"/>
      <c r="B337" s="2"/>
      <c r="C337" s="2" t="str">
        <f t="shared" si="1"/>
        <v> </v>
      </c>
      <c r="D337" s="2" t="str">
        <f>IFERROR(__xludf.DUMMYFUNCTION("""COMPUTED_VALUE"""),"")</f>
        <v/>
      </c>
      <c r="E337" s="2" t="str">
        <f>IFERROR(__xludf.DUMMYFUNCTION("""COMPUTED_VALUE"""),"")</f>
        <v/>
      </c>
    </row>
    <row r="338">
      <c r="A338" s="2"/>
      <c r="B338" s="2"/>
      <c r="C338" s="2" t="str">
        <f t="shared" si="1"/>
        <v> </v>
      </c>
      <c r="D338" s="2" t="str">
        <f>IFERROR(__xludf.DUMMYFUNCTION("""COMPUTED_VALUE"""),"")</f>
        <v/>
      </c>
      <c r="E338" s="2" t="str">
        <f>IFERROR(__xludf.DUMMYFUNCTION("""COMPUTED_VALUE"""),"")</f>
        <v/>
      </c>
    </row>
    <row r="339">
      <c r="A339" s="2"/>
      <c r="B339" s="2"/>
      <c r="C339" s="2" t="str">
        <f t="shared" si="1"/>
        <v> </v>
      </c>
      <c r="D339" s="2" t="str">
        <f>IFERROR(__xludf.DUMMYFUNCTION("""COMPUTED_VALUE"""),"")</f>
        <v/>
      </c>
      <c r="E339" s="2" t="str">
        <f>IFERROR(__xludf.DUMMYFUNCTION("""COMPUTED_VALUE"""),"")</f>
        <v/>
      </c>
    </row>
    <row r="340">
      <c r="A340" s="2"/>
      <c r="B340" s="2"/>
      <c r="C340" s="2" t="str">
        <f t="shared" si="1"/>
        <v> </v>
      </c>
      <c r="D340" s="2" t="str">
        <f>IFERROR(__xludf.DUMMYFUNCTION("""COMPUTED_VALUE"""),"")</f>
        <v/>
      </c>
      <c r="E340" s="2" t="str">
        <f>IFERROR(__xludf.DUMMYFUNCTION("""COMPUTED_VALUE"""),"")</f>
        <v/>
      </c>
    </row>
    <row r="341">
      <c r="A341" s="2"/>
      <c r="B341" s="2"/>
      <c r="C341" s="2" t="str">
        <f t="shared" si="1"/>
        <v> </v>
      </c>
      <c r="D341" s="2" t="str">
        <f>IFERROR(__xludf.DUMMYFUNCTION("""COMPUTED_VALUE"""),"")</f>
        <v/>
      </c>
      <c r="E341" s="2" t="str">
        <f>IFERROR(__xludf.DUMMYFUNCTION("""COMPUTED_VALUE"""),"")</f>
        <v/>
      </c>
    </row>
    <row r="342">
      <c r="A342" s="2"/>
      <c r="B342" s="2"/>
      <c r="C342" s="2" t="str">
        <f t="shared" si="1"/>
        <v> </v>
      </c>
      <c r="D342" s="2" t="str">
        <f>IFERROR(__xludf.DUMMYFUNCTION("""COMPUTED_VALUE"""),"")</f>
        <v/>
      </c>
      <c r="E342" s="2" t="str">
        <f>IFERROR(__xludf.DUMMYFUNCTION("""COMPUTED_VALUE"""),"")</f>
        <v/>
      </c>
    </row>
    <row r="343">
      <c r="A343" s="2"/>
      <c r="B343" s="2"/>
      <c r="C343" s="2" t="str">
        <f t="shared" si="1"/>
        <v> </v>
      </c>
      <c r="D343" s="2" t="str">
        <f>IFERROR(__xludf.DUMMYFUNCTION("""COMPUTED_VALUE"""),"")</f>
        <v/>
      </c>
      <c r="E343" s="2" t="str">
        <f>IFERROR(__xludf.DUMMYFUNCTION("""COMPUTED_VALUE"""),"")</f>
        <v/>
      </c>
    </row>
    <row r="344">
      <c r="A344" s="2"/>
      <c r="B344" s="2"/>
      <c r="C344" s="2" t="str">
        <f t="shared" si="1"/>
        <v> </v>
      </c>
      <c r="D344" s="2" t="str">
        <f>IFERROR(__xludf.DUMMYFUNCTION("""COMPUTED_VALUE"""),"")</f>
        <v/>
      </c>
      <c r="E344" s="2" t="str">
        <f>IFERROR(__xludf.DUMMYFUNCTION("""COMPUTED_VALUE"""),"")</f>
        <v/>
      </c>
    </row>
    <row r="345">
      <c r="A345" s="2"/>
      <c r="B345" s="2"/>
      <c r="C345" s="2" t="str">
        <f t="shared" si="1"/>
        <v> </v>
      </c>
      <c r="D345" s="2" t="str">
        <f>IFERROR(__xludf.DUMMYFUNCTION("""COMPUTED_VALUE"""),"")</f>
        <v/>
      </c>
      <c r="E345" s="2" t="str">
        <f>IFERROR(__xludf.DUMMYFUNCTION("""COMPUTED_VALUE"""),"")</f>
        <v/>
      </c>
    </row>
    <row r="346">
      <c r="A346" s="2"/>
      <c r="B346" s="2"/>
      <c r="C346" s="2" t="str">
        <f t="shared" si="1"/>
        <v> </v>
      </c>
      <c r="D346" s="2" t="str">
        <f>IFERROR(__xludf.DUMMYFUNCTION("""COMPUTED_VALUE"""),"")</f>
        <v/>
      </c>
      <c r="E346" s="2" t="str">
        <f>IFERROR(__xludf.DUMMYFUNCTION("""COMPUTED_VALUE"""),"")</f>
        <v/>
      </c>
    </row>
    <row r="347">
      <c r="A347" s="2"/>
      <c r="B347" s="2"/>
      <c r="C347" s="2" t="str">
        <f t="shared" si="1"/>
        <v> </v>
      </c>
      <c r="D347" s="2" t="str">
        <f>IFERROR(__xludf.DUMMYFUNCTION("""COMPUTED_VALUE"""),"")</f>
        <v/>
      </c>
      <c r="E347" s="2" t="str">
        <f>IFERROR(__xludf.DUMMYFUNCTION("""COMPUTED_VALUE"""),"")</f>
        <v/>
      </c>
    </row>
    <row r="348">
      <c r="A348" s="2"/>
      <c r="B348" s="2"/>
      <c r="C348" s="2" t="str">
        <f t="shared" si="1"/>
        <v> </v>
      </c>
      <c r="D348" s="2" t="str">
        <f>IFERROR(__xludf.DUMMYFUNCTION("""COMPUTED_VALUE"""),"")</f>
        <v/>
      </c>
      <c r="E348" s="2" t="str">
        <f>IFERROR(__xludf.DUMMYFUNCTION("""COMPUTED_VALUE"""),"")</f>
        <v/>
      </c>
    </row>
    <row r="349">
      <c r="A349" s="2"/>
      <c r="B349" s="2"/>
      <c r="C349" s="2" t="str">
        <f t="shared" si="1"/>
        <v> </v>
      </c>
      <c r="D349" s="2" t="str">
        <f>IFERROR(__xludf.DUMMYFUNCTION("""COMPUTED_VALUE"""),"")</f>
        <v/>
      </c>
      <c r="E349" s="2" t="str">
        <f>IFERROR(__xludf.DUMMYFUNCTION("""COMPUTED_VALUE"""),"")</f>
        <v/>
      </c>
    </row>
    <row r="350">
      <c r="A350" s="2"/>
      <c r="B350" s="2"/>
      <c r="C350" s="2" t="str">
        <f t="shared" si="1"/>
        <v> </v>
      </c>
      <c r="D350" s="2" t="str">
        <f>IFERROR(__xludf.DUMMYFUNCTION("""COMPUTED_VALUE"""),"")</f>
        <v/>
      </c>
      <c r="E350" s="2" t="str">
        <f>IFERROR(__xludf.DUMMYFUNCTION("""COMPUTED_VALUE"""),"")</f>
        <v/>
      </c>
    </row>
    <row r="351">
      <c r="A351" s="2"/>
      <c r="B351" s="2"/>
      <c r="C351" s="2" t="str">
        <f t="shared" si="1"/>
        <v> </v>
      </c>
      <c r="D351" s="2" t="str">
        <f>IFERROR(__xludf.DUMMYFUNCTION("""COMPUTED_VALUE"""),"")</f>
        <v/>
      </c>
      <c r="E351" s="2" t="str">
        <f>IFERROR(__xludf.DUMMYFUNCTION("""COMPUTED_VALUE"""),"")</f>
        <v/>
      </c>
    </row>
    <row r="352">
      <c r="A352" s="2"/>
      <c r="B352" s="2"/>
      <c r="C352" s="2" t="str">
        <f t="shared" si="1"/>
        <v> </v>
      </c>
      <c r="D352" s="2" t="str">
        <f>IFERROR(__xludf.DUMMYFUNCTION("""COMPUTED_VALUE"""),"")</f>
        <v/>
      </c>
      <c r="E352" s="2" t="str">
        <f>IFERROR(__xludf.DUMMYFUNCTION("""COMPUTED_VALUE"""),"")</f>
        <v/>
      </c>
    </row>
    <row r="353">
      <c r="A353" s="2"/>
      <c r="B353" s="2"/>
      <c r="C353" s="2" t="str">
        <f t="shared" si="1"/>
        <v> </v>
      </c>
      <c r="D353" s="2" t="str">
        <f>IFERROR(__xludf.DUMMYFUNCTION("""COMPUTED_VALUE"""),"")</f>
        <v/>
      </c>
      <c r="E353" s="2" t="str">
        <f>IFERROR(__xludf.DUMMYFUNCTION("""COMPUTED_VALUE"""),"")</f>
        <v/>
      </c>
    </row>
    <row r="354">
      <c r="A354" s="2"/>
      <c r="B354" s="2"/>
      <c r="C354" s="2" t="str">
        <f t="shared" si="1"/>
        <v> </v>
      </c>
      <c r="D354" s="2" t="str">
        <f>IFERROR(__xludf.DUMMYFUNCTION("""COMPUTED_VALUE"""),"")</f>
        <v/>
      </c>
      <c r="E354" s="2" t="str">
        <f>IFERROR(__xludf.DUMMYFUNCTION("""COMPUTED_VALUE"""),"")</f>
        <v/>
      </c>
    </row>
    <row r="355">
      <c r="A355" s="2"/>
      <c r="B355" s="2"/>
      <c r="C355" s="2" t="str">
        <f t="shared" si="1"/>
        <v> </v>
      </c>
      <c r="D355" s="2" t="str">
        <f>IFERROR(__xludf.DUMMYFUNCTION("""COMPUTED_VALUE"""),"")</f>
        <v/>
      </c>
      <c r="E355" s="2" t="str">
        <f>IFERROR(__xludf.DUMMYFUNCTION("""COMPUTED_VALUE"""),"")</f>
        <v/>
      </c>
    </row>
    <row r="356">
      <c r="A356" s="2"/>
      <c r="B356" s="2"/>
      <c r="C356" s="2" t="str">
        <f t="shared" si="1"/>
        <v> </v>
      </c>
      <c r="D356" s="2" t="str">
        <f>IFERROR(__xludf.DUMMYFUNCTION("""COMPUTED_VALUE"""),"")</f>
        <v/>
      </c>
      <c r="E356" s="2" t="str">
        <f>IFERROR(__xludf.DUMMYFUNCTION("""COMPUTED_VALUE"""),"")</f>
        <v/>
      </c>
    </row>
    <row r="357">
      <c r="A357" s="2"/>
      <c r="B357" s="2"/>
      <c r="C357" s="2" t="str">
        <f t="shared" si="1"/>
        <v> </v>
      </c>
      <c r="D357" s="2" t="str">
        <f>IFERROR(__xludf.DUMMYFUNCTION("""COMPUTED_VALUE"""),"")</f>
        <v/>
      </c>
      <c r="E357" s="2" t="str">
        <f>IFERROR(__xludf.DUMMYFUNCTION("""COMPUTED_VALUE"""),"")</f>
        <v/>
      </c>
    </row>
    <row r="358">
      <c r="A358" s="2"/>
      <c r="B358" s="2"/>
      <c r="C358" s="2" t="str">
        <f t="shared" si="1"/>
        <v> </v>
      </c>
      <c r="D358" s="2" t="str">
        <f>IFERROR(__xludf.DUMMYFUNCTION("""COMPUTED_VALUE"""),"")</f>
        <v/>
      </c>
      <c r="E358" s="2" t="str">
        <f>IFERROR(__xludf.DUMMYFUNCTION("""COMPUTED_VALUE"""),"")</f>
        <v/>
      </c>
    </row>
    <row r="359">
      <c r="A359" s="2"/>
      <c r="B359" s="2"/>
      <c r="C359" s="2" t="str">
        <f t="shared" si="1"/>
        <v> </v>
      </c>
      <c r="D359" s="2" t="str">
        <f>IFERROR(__xludf.DUMMYFUNCTION("""COMPUTED_VALUE"""),"")</f>
        <v/>
      </c>
      <c r="E359" s="2" t="str">
        <f>IFERROR(__xludf.DUMMYFUNCTION("""COMPUTED_VALUE"""),"")</f>
        <v/>
      </c>
    </row>
    <row r="360">
      <c r="A360" s="2"/>
      <c r="B360" s="2"/>
      <c r="C360" s="2" t="str">
        <f t="shared" si="1"/>
        <v> </v>
      </c>
      <c r="D360" s="2" t="str">
        <f>IFERROR(__xludf.DUMMYFUNCTION("""COMPUTED_VALUE"""),"")</f>
        <v/>
      </c>
      <c r="E360" s="2" t="str">
        <f>IFERROR(__xludf.DUMMYFUNCTION("""COMPUTED_VALUE"""),"")</f>
        <v/>
      </c>
    </row>
    <row r="361">
      <c r="A361" s="2"/>
      <c r="B361" s="2"/>
      <c r="C361" s="2" t="str">
        <f t="shared" si="1"/>
        <v> </v>
      </c>
      <c r="D361" s="2" t="str">
        <f>IFERROR(__xludf.DUMMYFUNCTION("""COMPUTED_VALUE"""),"")</f>
        <v/>
      </c>
      <c r="E361" s="2" t="str">
        <f>IFERROR(__xludf.DUMMYFUNCTION("""COMPUTED_VALUE"""),"")</f>
        <v/>
      </c>
    </row>
    <row r="362">
      <c r="A362" s="2"/>
      <c r="B362" s="2"/>
      <c r="C362" s="2" t="str">
        <f t="shared" si="1"/>
        <v> </v>
      </c>
      <c r="D362" s="2" t="str">
        <f>IFERROR(__xludf.DUMMYFUNCTION("""COMPUTED_VALUE"""),"")</f>
        <v/>
      </c>
      <c r="E362" s="2" t="str">
        <f>IFERROR(__xludf.DUMMYFUNCTION("""COMPUTED_VALUE"""),"")</f>
        <v/>
      </c>
    </row>
    <row r="363">
      <c r="A363" s="2"/>
      <c r="B363" s="2"/>
      <c r="C363" s="2" t="str">
        <f t="shared" si="1"/>
        <v> </v>
      </c>
      <c r="D363" s="2" t="str">
        <f>IFERROR(__xludf.DUMMYFUNCTION("""COMPUTED_VALUE"""),"")</f>
        <v/>
      </c>
      <c r="E363" s="2" t="str">
        <f>IFERROR(__xludf.DUMMYFUNCTION("""COMPUTED_VALUE"""),"")</f>
        <v/>
      </c>
    </row>
    <row r="364">
      <c r="A364" s="2"/>
      <c r="B364" s="2"/>
      <c r="C364" s="2" t="str">
        <f t="shared" si="1"/>
        <v> </v>
      </c>
      <c r="D364" s="2" t="str">
        <f>IFERROR(__xludf.DUMMYFUNCTION("""COMPUTED_VALUE"""),"")</f>
        <v/>
      </c>
      <c r="E364" s="2" t="str">
        <f>IFERROR(__xludf.DUMMYFUNCTION("""COMPUTED_VALUE"""),"")</f>
        <v/>
      </c>
    </row>
    <row r="365">
      <c r="A365" s="2"/>
      <c r="B365" s="2"/>
      <c r="C365" s="2" t="str">
        <f t="shared" si="1"/>
        <v> </v>
      </c>
      <c r="D365" s="2" t="str">
        <f>IFERROR(__xludf.DUMMYFUNCTION("""COMPUTED_VALUE"""),"")</f>
        <v/>
      </c>
      <c r="E365" s="2" t="str">
        <f>IFERROR(__xludf.DUMMYFUNCTION("""COMPUTED_VALUE"""),"")</f>
        <v/>
      </c>
    </row>
    <row r="366">
      <c r="A366" s="2"/>
      <c r="B366" s="2"/>
      <c r="C366" s="2" t="str">
        <f t="shared" si="1"/>
        <v> </v>
      </c>
      <c r="D366" s="2" t="str">
        <f>IFERROR(__xludf.DUMMYFUNCTION("""COMPUTED_VALUE"""),"")</f>
        <v/>
      </c>
      <c r="E366" s="2" t="str">
        <f>IFERROR(__xludf.DUMMYFUNCTION("""COMPUTED_VALUE"""),"")</f>
        <v/>
      </c>
    </row>
    <row r="367">
      <c r="A367" s="2"/>
      <c r="B367" s="2"/>
      <c r="C367" s="2" t="str">
        <f t="shared" si="1"/>
        <v> </v>
      </c>
      <c r="D367" s="2" t="str">
        <f>IFERROR(__xludf.DUMMYFUNCTION("""COMPUTED_VALUE"""),"")</f>
        <v/>
      </c>
      <c r="E367" s="2" t="str">
        <f>IFERROR(__xludf.DUMMYFUNCTION("""COMPUTED_VALUE"""),"")</f>
        <v/>
      </c>
    </row>
    <row r="368">
      <c r="A368" s="2"/>
      <c r="B368" s="2"/>
      <c r="C368" s="2" t="str">
        <f t="shared" si="1"/>
        <v> </v>
      </c>
      <c r="D368" s="2" t="str">
        <f>IFERROR(__xludf.DUMMYFUNCTION("""COMPUTED_VALUE"""),"")</f>
        <v/>
      </c>
      <c r="E368" s="2" t="str">
        <f>IFERROR(__xludf.DUMMYFUNCTION("""COMPUTED_VALUE"""),"")</f>
        <v/>
      </c>
    </row>
    <row r="369">
      <c r="A369" s="2"/>
      <c r="B369" s="2"/>
      <c r="C369" s="2" t="str">
        <f t="shared" si="1"/>
        <v> </v>
      </c>
      <c r="D369" s="2" t="str">
        <f>IFERROR(__xludf.DUMMYFUNCTION("""COMPUTED_VALUE"""),"")</f>
        <v/>
      </c>
      <c r="E369" s="2" t="str">
        <f>IFERROR(__xludf.DUMMYFUNCTION("""COMPUTED_VALUE"""),"")</f>
        <v/>
      </c>
    </row>
    <row r="370">
      <c r="A370" s="2"/>
      <c r="B370" s="2"/>
      <c r="C370" s="2" t="str">
        <f t="shared" si="1"/>
        <v> </v>
      </c>
      <c r="D370" s="2" t="str">
        <f>IFERROR(__xludf.DUMMYFUNCTION("""COMPUTED_VALUE"""),"")</f>
        <v/>
      </c>
      <c r="E370" s="2" t="str">
        <f>IFERROR(__xludf.DUMMYFUNCTION("""COMPUTED_VALUE"""),"")</f>
        <v/>
      </c>
    </row>
    <row r="371">
      <c r="A371" s="2"/>
      <c r="B371" s="2"/>
      <c r="C371" s="2" t="str">
        <f t="shared" si="1"/>
        <v> </v>
      </c>
      <c r="D371" s="2" t="str">
        <f>IFERROR(__xludf.DUMMYFUNCTION("""COMPUTED_VALUE"""),"")</f>
        <v/>
      </c>
      <c r="E371" s="2" t="str">
        <f>IFERROR(__xludf.DUMMYFUNCTION("""COMPUTED_VALUE"""),"")</f>
        <v/>
      </c>
    </row>
    <row r="372">
      <c r="A372" s="2"/>
      <c r="B372" s="2"/>
      <c r="C372" s="2" t="str">
        <f t="shared" si="1"/>
        <v> </v>
      </c>
      <c r="D372" s="2" t="str">
        <f>IFERROR(__xludf.DUMMYFUNCTION("""COMPUTED_VALUE"""),"")</f>
        <v/>
      </c>
      <c r="E372" s="2" t="str">
        <f>IFERROR(__xludf.DUMMYFUNCTION("""COMPUTED_VALUE"""),"")</f>
        <v/>
      </c>
    </row>
    <row r="373">
      <c r="A373" s="2"/>
      <c r="B373" s="2"/>
      <c r="C373" s="2" t="str">
        <f t="shared" si="1"/>
        <v> </v>
      </c>
      <c r="D373" s="2" t="str">
        <f>IFERROR(__xludf.DUMMYFUNCTION("""COMPUTED_VALUE"""),"")</f>
        <v/>
      </c>
      <c r="E373" s="2" t="str">
        <f>IFERROR(__xludf.DUMMYFUNCTION("""COMPUTED_VALUE"""),"")</f>
        <v/>
      </c>
    </row>
    <row r="374">
      <c r="A374" s="2"/>
      <c r="B374" s="2"/>
      <c r="C374" s="2" t="str">
        <f t="shared" si="1"/>
        <v> </v>
      </c>
      <c r="D374" s="2" t="str">
        <f>IFERROR(__xludf.DUMMYFUNCTION("""COMPUTED_VALUE"""),"")</f>
        <v/>
      </c>
      <c r="E374" s="2" t="str">
        <f>IFERROR(__xludf.DUMMYFUNCTION("""COMPUTED_VALUE"""),"")</f>
        <v/>
      </c>
    </row>
    <row r="375">
      <c r="A375" s="2"/>
      <c r="B375" s="2"/>
      <c r="C375" s="2" t="str">
        <f t="shared" si="1"/>
        <v> </v>
      </c>
      <c r="D375" s="2" t="str">
        <f>IFERROR(__xludf.DUMMYFUNCTION("""COMPUTED_VALUE"""),"")</f>
        <v/>
      </c>
      <c r="E375" s="2" t="str">
        <f>IFERROR(__xludf.DUMMYFUNCTION("""COMPUTED_VALUE"""),"")</f>
        <v/>
      </c>
    </row>
    <row r="376">
      <c r="A376" s="2"/>
      <c r="B376" s="2"/>
      <c r="C376" s="2" t="str">
        <f t="shared" si="1"/>
        <v> </v>
      </c>
      <c r="D376" s="2" t="str">
        <f>IFERROR(__xludf.DUMMYFUNCTION("""COMPUTED_VALUE"""),"")</f>
        <v/>
      </c>
      <c r="E376" s="2" t="str">
        <f>IFERROR(__xludf.DUMMYFUNCTION("""COMPUTED_VALUE"""),"")</f>
        <v/>
      </c>
    </row>
    <row r="377">
      <c r="A377" s="2"/>
      <c r="B377" s="2"/>
      <c r="C377" s="2" t="str">
        <f t="shared" si="1"/>
        <v> </v>
      </c>
      <c r="D377" s="2" t="str">
        <f>IFERROR(__xludf.DUMMYFUNCTION("""COMPUTED_VALUE"""),"")</f>
        <v/>
      </c>
      <c r="E377" s="2" t="str">
        <f>IFERROR(__xludf.DUMMYFUNCTION("""COMPUTED_VALUE"""),"")</f>
        <v/>
      </c>
    </row>
    <row r="378">
      <c r="A378" s="2"/>
      <c r="B378" s="2"/>
      <c r="C378" s="2" t="str">
        <f t="shared" si="1"/>
        <v> </v>
      </c>
      <c r="D378" s="2" t="str">
        <f>IFERROR(__xludf.DUMMYFUNCTION("""COMPUTED_VALUE"""),"")</f>
        <v/>
      </c>
      <c r="E378" s="2" t="str">
        <f>IFERROR(__xludf.DUMMYFUNCTION("""COMPUTED_VALUE"""),"")</f>
        <v/>
      </c>
    </row>
    <row r="379">
      <c r="A379" s="2"/>
      <c r="B379" s="2"/>
      <c r="C379" s="2" t="str">
        <f t="shared" si="1"/>
        <v> </v>
      </c>
      <c r="D379" s="2" t="str">
        <f>IFERROR(__xludf.DUMMYFUNCTION("""COMPUTED_VALUE"""),"")</f>
        <v/>
      </c>
      <c r="E379" s="2" t="str">
        <f>IFERROR(__xludf.DUMMYFUNCTION("""COMPUTED_VALUE"""),"")</f>
        <v/>
      </c>
    </row>
    <row r="380">
      <c r="A380" s="2"/>
      <c r="B380" s="2"/>
      <c r="C380" s="2" t="str">
        <f t="shared" si="1"/>
        <v> </v>
      </c>
      <c r="D380" s="2" t="str">
        <f>IFERROR(__xludf.DUMMYFUNCTION("""COMPUTED_VALUE"""),"")</f>
        <v/>
      </c>
      <c r="E380" s="2" t="str">
        <f>IFERROR(__xludf.DUMMYFUNCTION("""COMPUTED_VALUE"""),"")</f>
        <v/>
      </c>
    </row>
    <row r="381">
      <c r="A381" s="2"/>
      <c r="B381" s="2"/>
      <c r="C381" s="2" t="str">
        <f t="shared" si="1"/>
        <v> </v>
      </c>
      <c r="D381" s="2" t="str">
        <f>IFERROR(__xludf.DUMMYFUNCTION("""COMPUTED_VALUE"""),"")</f>
        <v/>
      </c>
      <c r="E381" s="2" t="str">
        <f>IFERROR(__xludf.DUMMYFUNCTION("""COMPUTED_VALUE"""),"")</f>
        <v/>
      </c>
    </row>
    <row r="382">
      <c r="A382" s="2"/>
      <c r="B382" s="2"/>
      <c r="C382" s="2" t="str">
        <f t="shared" si="1"/>
        <v> </v>
      </c>
      <c r="D382" s="2" t="str">
        <f>IFERROR(__xludf.DUMMYFUNCTION("""COMPUTED_VALUE"""),"")</f>
        <v/>
      </c>
      <c r="E382" s="2" t="str">
        <f>IFERROR(__xludf.DUMMYFUNCTION("""COMPUTED_VALUE"""),"")</f>
        <v/>
      </c>
    </row>
    <row r="383">
      <c r="A383" s="2"/>
      <c r="B383" s="2"/>
      <c r="C383" s="2" t="str">
        <f t="shared" si="1"/>
        <v> </v>
      </c>
      <c r="D383" s="2" t="str">
        <f>IFERROR(__xludf.DUMMYFUNCTION("""COMPUTED_VALUE"""),"")</f>
        <v/>
      </c>
      <c r="E383" s="2" t="str">
        <f>IFERROR(__xludf.DUMMYFUNCTION("""COMPUTED_VALUE"""),"")</f>
        <v/>
      </c>
    </row>
    <row r="384">
      <c r="A384" s="2"/>
      <c r="B384" s="2"/>
      <c r="C384" s="2" t="str">
        <f t="shared" si="1"/>
        <v> </v>
      </c>
      <c r="D384" s="2" t="str">
        <f>IFERROR(__xludf.DUMMYFUNCTION("""COMPUTED_VALUE"""),"")</f>
        <v/>
      </c>
      <c r="E384" s="2" t="str">
        <f>IFERROR(__xludf.DUMMYFUNCTION("""COMPUTED_VALUE"""),"")</f>
        <v/>
      </c>
    </row>
    <row r="385">
      <c r="A385" s="2"/>
      <c r="B385" s="2"/>
      <c r="C385" s="2" t="str">
        <f t="shared" si="1"/>
        <v> </v>
      </c>
      <c r="D385" s="2" t="str">
        <f>IFERROR(__xludf.DUMMYFUNCTION("""COMPUTED_VALUE"""),"")</f>
        <v/>
      </c>
      <c r="E385" s="2" t="str">
        <f>IFERROR(__xludf.DUMMYFUNCTION("""COMPUTED_VALUE"""),"")</f>
        <v/>
      </c>
    </row>
    <row r="386">
      <c r="A386" s="2"/>
      <c r="B386" s="2"/>
      <c r="C386" s="2" t="str">
        <f t="shared" si="1"/>
        <v> </v>
      </c>
      <c r="D386" s="2" t="str">
        <f>IFERROR(__xludf.DUMMYFUNCTION("""COMPUTED_VALUE"""),"")</f>
        <v/>
      </c>
      <c r="E386" s="2" t="str">
        <f>IFERROR(__xludf.DUMMYFUNCTION("""COMPUTED_VALUE"""),"")</f>
        <v/>
      </c>
    </row>
    <row r="387">
      <c r="A387" s="2"/>
      <c r="B387" s="2"/>
      <c r="C387" s="2" t="str">
        <f t="shared" si="1"/>
        <v> </v>
      </c>
      <c r="D387" s="2" t="str">
        <f>IFERROR(__xludf.DUMMYFUNCTION("""COMPUTED_VALUE"""),"")</f>
        <v/>
      </c>
      <c r="E387" s="2" t="str">
        <f>IFERROR(__xludf.DUMMYFUNCTION("""COMPUTED_VALUE"""),"")</f>
        <v/>
      </c>
    </row>
    <row r="388">
      <c r="A388" s="2"/>
      <c r="B388" s="2"/>
      <c r="C388" s="2" t="str">
        <f t="shared" si="1"/>
        <v> </v>
      </c>
      <c r="D388" s="2" t="str">
        <f>IFERROR(__xludf.DUMMYFUNCTION("""COMPUTED_VALUE"""),"")</f>
        <v/>
      </c>
      <c r="E388" s="2" t="str">
        <f>IFERROR(__xludf.DUMMYFUNCTION("""COMPUTED_VALUE"""),"")</f>
        <v/>
      </c>
    </row>
    <row r="389">
      <c r="A389" s="2"/>
      <c r="B389" s="2"/>
      <c r="C389" s="2" t="str">
        <f t="shared" si="1"/>
        <v> </v>
      </c>
      <c r="D389" s="2" t="str">
        <f>IFERROR(__xludf.DUMMYFUNCTION("""COMPUTED_VALUE"""),"")</f>
        <v/>
      </c>
      <c r="E389" s="2" t="str">
        <f>IFERROR(__xludf.DUMMYFUNCTION("""COMPUTED_VALUE"""),"")</f>
        <v/>
      </c>
    </row>
    <row r="390">
      <c r="A390" s="2"/>
      <c r="B390" s="2"/>
      <c r="C390" s="2" t="str">
        <f t="shared" si="1"/>
        <v> </v>
      </c>
      <c r="D390" s="2" t="str">
        <f>IFERROR(__xludf.DUMMYFUNCTION("""COMPUTED_VALUE"""),"")</f>
        <v/>
      </c>
      <c r="E390" s="2" t="str">
        <f>IFERROR(__xludf.DUMMYFUNCTION("""COMPUTED_VALUE"""),"")</f>
        <v/>
      </c>
    </row>
    <row r="391">
      <c r="A391" s="2"/>
      <c r="B391" s="2"/>
      <c r="C391" s="2" t="str">
        <f t="shared" si="1"/>
        <v> </v>
      </c>
      <c r="D391" s="2" t="str">
        <f>IFERROR(__xludf.DUMMYFUNCTION("""COMPUTED_VALUE"""),"")</f>
        <v/>
      </c>
      <c r="E391" s="2" t="str">
        <f>IFERROR(__xludf.DUMMYFUNCTION("""COMPUTED_VALUE"""),"")</f>
        <v/>
      </c>
    </row>
    <row r="392">
      <c r="A392" s="2"/>
      <c r="B392" s="2"/>
      <c r="C392" s="2" t="str">
        <f t="shared" si="1"/>
        <v> </v>
      </c>
      <c r="D392" s="2" t="str">
        <f>IFERROR(__xludf.DUMMYFUNCTION("""COMPUTED_VALUE"""),"")</f>
        <v/>
      </c>
      <c r="E392" s="2" t="str">
        <f>IFERROR(__xludf.DUMMYFUNCTION("""COMPUTED_VALUE"""),"")</f>
        <v/>
      </c>
    </row>
    <row r="393">
      <c r="A393" s="2"/>
      <c r="B393" s="2"/>
      <c r="C393" s="2" t="str">
        <f t="shared" si="1"/>
        <v> </v>
      </c>
      <c r="D393" s="2" t="str">
        <f>IFERROR(__xludf.DUMMYFUNCTION("""COMPUTED_VALUE"""),"")</f>
        <v/>
      </c>
      <c r="E393" s="2" t="str">
        <f>IFERROR(__xludf.DUMMYFUNCTION("""COMPUTED_VALUE"""),"")</f>
        <v/>
      </c>
    </row>
    <row r="394">
      <c r="A394" s="2"/>
      <c r="B394" s="2"/>
      <c r="C394" s="2" t="str">
        <f t="shared" si="1"/>
        <v> </v>
      </c>
      <c r="D394" s="2" t="str">
        <f>IFERROR(__xludf.DUMMYFUNCTION("""COMPUTED_VALUE"""),"")</f>
        <v/>
      </c>
      <c r="E394" s="2" t="str">
        <f>IFERROR(__xludf.DUMMYFUNCTION("""COMPUTED_VALUE"""),"")</f>
        <v/>
      </c>
    </row>
    <row r="395">
      <c r="A395" s="2"/>
      <c r="B395" s="2"/>
      <c r="C395" s="2" t="str">
        <f t="shared" si="1"/>
        <v> </v>
      </c>
      <c r="D395" s="2" t="str">
        <f>IFERROR(__xludf.DUMMYFUNCTION("""COMPUTED_VALUE"""),"")</f>
        <v/>
      </c>
      <c r="E395" s="2" t="str">
        <f>IFERROR(__xludf.DUMMYFUNCTION("""COMPUTED_VALUE"""),"")</f>
        <v/>
      </c>
    </row>
    <row r="396">
      <c r="A396" s="2"/>
      <c r="B396" s="2"/>
      <c r="C396" s="2" t="str">
        <f t="shared" si="1"/>
        <v> </v>
      </c>
      <c r="D396" s="2" t="str">
        <f>IFERROR(__xludf.DUMMYFUNCTION("""COMPUTED_VALUE"""),"")</f>
        <v/>
      </c>
      <c r="E396" s="2" t="str">
        <f>IFERROR(__xludf.DUMMYFUNCTION("""COMPUTED_VALUE"""),"")</f>
        <v/>
      </c>
    </row>
    <row r="397">
      <c r="A397" s="2"/>
      <c r="B397" s="2"/>
      <c r="C397" s="2" t="str">
        <f t="shared" si="1"/>
        <v> </v>
      </c>
      <c r="D397" s="2" t="str">
        <f>IFERROR(__xludf.DUMMYFUNCTION("""COMPUTED_VALUE"""),"")</f>
        <v/>
      </c>
      <c r="E397" s="2" t="str">
        <f>IFERROR(__xludf.DUMMYFUNCTION("""COMPUTED_VALUE"""),"")</f>
        <v/>
      </c>
    </row>
    <row r="398">
      <c r="A398" s="2"/>
      <c r="B398" s="2"/>
      <c r="C398" s="2" t="str">
        <f t="shared" si="1"/>
        <v> </v>
      </c>
      <c r="D398" s="2" t="str">
        <f>IFERROR(__xludf.DUMMYFUNCTION("""COMPUTED_VALUE"""),"")</f>
        <v/>
      </c>
      <c r="E398" s="2" t="str">
        <f>IFERROR(__xludf.DUMMYFUNCTION("""COMPUTED_VALUE"""),"")</f>
        <v/>
      </c>
    </row>
    <row r="399">
      <c r="A399" s="2"/>
      <c r="B399" s="2"/>
      <c r="C399" s="2" t="str">
        <f t="shared" si="1"/>
        <v> </v>
      </c>
      <c r="D399" s="2" t="str">
        <f>IFERROR(__xludf.DUMMYFUNCTION("""COMPUTED_VALUE"""),"")</f>
        <v/>
      </c>
      <c r="E399" s="2" t="str">
        <f>IFERROR(__xludf.DUMMYFUNCTION("""COMPUTED_VALUE"""),"")</f>
        <v/>
      </c>
    </row>
    <row r="400">
      <c r="A400" s="2"/>
      <c r="B400" s="2"/>
      <c r="C400" s="2" t="str">
        <f t="shared" si="1"/>
        <v> </v>
      </c>
      <c r="D400" s="2" t="str">
        <f>IFERROR(__xludf.DUMMYFUNCTION("""COMPUTED_VALUE"""),"")</f>
        <v/>
      </c>
      <c r="E400" s="2" t="str">
        <f>IFERROR(__xludf.DUMMYFUNCTION("""COMPUTED_VALUE"""),"")</f>
        <v/>
      </c>
    </row>
    <row r="401">
      <c r="A401" s="2"/>
      <c r="B401" s="2"/>
      <c r="C401" s="2" t="str">
        <f t="shared" si="1"/>
        <v> </v>
      </c>
      <c r="D401" s="2" t="str">
        <f>IFERROR(__xludf.DUMMYFUNCTION("""COMPUTED_VALUE"""),"")</f>
        <v/>
      </c>
      <c r="E401" s="2" t="str">
        <f>IFERROR(__xludf.DUMMYFUNCTION("""COMPUTED_VALUE"""),"")</f>
        <v/>
      </c>
    </row>
    <row r="402">
      <c r="A402" s="2"/>
      <c r="B402" s="2"/>
      <c r="C402" s="2" t="str">
        <f t="shared" si="1"/>
        <v> </v>
      </c>
      <c r="D402" s="2" t="str">
        <f>IFERROR(__xludf.DUMMYFUNCTION("""COMPUTED_VALUE"""),"")</f>
        <v/>
      </c>
      <c r="E402" s="2" t="str">
        <f>IFERROR(__xludf.DUMMYFUNCTION("""COMPUTED_VALUE"""),"")</f>
        <v/>
      </c>
    </row>
    <row r="403">
      <c r="A403" s="2"/>
      <c r="B403" s="2"/>
      <c r="C403" s="2" t="str">
        <f t="shared" si="1"/>
        <v> </v>
      </c>
      <c r="D403" s="2" t="str">
        <f>IFERROR(__xludf.DUMMYFUNCTION("""COMPUTED_VALUE"""),"")</f>
        <v/>
      </c>
      <c r="E403" s="2" t="str">
        <f>IFERROR(__xludf.DUMMYFUNCTION("""COMPUTED_VALUE"""),"")</f>
        <v/>
      </c>
    </row>
    <row r="404">
      <c r="A404" s="2"/>
      <c r="B404" s="2"/>
      <c r="C404" s="2" t="str">
        <f t="shared" si="1"/>
        <v> </v>
      </c>
      <c r="D404" s="2" t="str">
        <f>IFERROR(__xludf.DUMMYFUNCTION("""COMPUTED_VALUE"""),"")</f>
        <v/>
      </c>
      <c r="E404" s="2" t="str">
        <f>IFERROR(__xludf.DUMMYFUNCTION("""COMPUTED_VALUE"""),"")</f>
        <v/>
      </c>
    </row>
    <row r="405">
      <c r="A405" s="2"/>
      <c r="B405" s="2"/>
      <c r="C405" s="2" t="str">
        <f t="shared" si="1"/>
        <v> </v>
      </c>
      <c r="D405" s="2" t="str">
        <f>IFERROR(__xludf.DUMMYFUNCTION("""COMPUTED_VALUE"""),"")</f>
        <v/>
      </c>
      <c r="E405" s="2" t="str">
        <f>IFERROR(__xludf.DUMMYFUNCTION("""COMPUTED_VALUE"""),"")</f>
        <v/>
      </c>
    </row>
    <row r="406">
      <c r="A406" s="2"/>
      <c r="B406" s="2"/>
      <c r="C406" s="2" t="str">
        <f t="shared" si="1"/>
        <v> </v>
      </c>
      <c r="D406" s="2" t="str">
        <f>IFERROR(__xludf.DUMMYFUNCTION("""COMPUTED_VALUE"""),"")</f>
        <v/>
      </c>
      <c r="E406" s="2" t="str">
        <f>IFERROR(__xludf.DUMMYFUNCTION("""COMPUTED_VALUE"""),"")</f>
        <v/>
      </c>
    </row>
    <row r="407">
      <c r="A407" s="2"/>
      <c r="B407" s="2"/>
      <c r="C407" s="2" t="str">
        <f t="shared" si="1"/>
        <v> </v>
      </c>
      <c r="D407" s="2" t="str">
        <f>IFERROR(__xludf.DUMMYFUNCTION("""COMPUTED_VALUE"""),"")</f>
        <v/>
      </c>
      <c r="E407" s="2" t="str">
        <f>IFERROR(__xludf.DUMMYFUNCTION("""COMPUTED_VALUE"""),"")</f>
        <v/>
      </c>
    </row>
    <row r="408">
      <c r="A408" s="2"/>
      <c r="B408" s="2"/>
      <c r="C408" s="2" t="str">
        <f t="shared" si="1"/>
        <v> </v>
      </c>
      <c r="D408" s="2" t="str">
        <f>IFERROR(__xludf.DUMMYFUNCTION("""COMPUTED_VALUE"""),"")</f>
        <v/>
      </c>
      <c r="E408" s="2" t="str">
        <f>IFERROR(__xludf.DUMMYFUNCTION("""COMPUTED_VALUE"""),"")</f>
        <v/>
      </c>
    </row>
    <row r="409">
      <c r="A409" s="2"/>
      <c r="B409" s="2"/>
      <c r="C409" s="2" t="str">
        <f t="shared" si="1"/>
        <v> </v>
      </c>
      <c r="D409" s="2" t="str">
        <f>IFERROR(__xludf.DUMMYFUNCTION("""COMPUTED_VALUE"""),"")</f>
        <v/>
      </c>
      <c r="E409" s="2" t="str">
        <f>IFERROR(__xludf.DUMMYFUNCTION("""COMPUTED_VALUE"""),"")</f>
        <v/>
      </c>
    </row>
    <row r="410">
      <c r="A410" s="2"/>
      <c r="B410" s="2"/>
      <c r="C410" s="2" t="str">
        <f t="shared" si="1"/>
        <v> </v>
      </c>
      <c r="D410" s="2" t="str">
        <f>IFERROR(__xludf.DUMMYFUNCTION("""COMPUTED_VALUE"""),"")</f>
        <v/>
      </c>
      <c r="E410" s="2" t="str">
        <f>IFERROR(__xludf.DUMMYFUNCTION("""COMPUTED_VALUE"""),"")</f>
        <v/>
      </c>
    </row>
    <row r="411">
      <c r="A411" s="2"/>
      <c r="B411" s="2"/>
      <c r="C411" s="2" t="str">
        <f t="shared" si="1"/>
        <v> </v>
      </c>
      <c r="D411" s="2" t="str">
        <f>IFERROR(__xludf.DUMMYFUNCTION("""COMPUTED_VALUE"""),"")</f>
        <v/>
      </c>
      <c r="E411" s="2" t="str">
        <f>IFERROR(__xludf.DUMMYFUNCTION("""COMPUTED_VALUE"""),"")</f>
        <v/>
      </c>
    </row>
    <row r="412">
      <c r="A412" s="2"/>
      <c r="B412" s="2"/>
      <c r="C412" s="2" t="str">
        <f t="shared" si="1"/>
        <v> </v>
      </c>
      <c r="D412" s="2" t="str">
        <f>IFERROR(__xludf.DUMMYFUNCTION("""COMPUTED_VALUE"""),"")</f>
        <v/>
      </c>
      <c r="E412" s="2" t="str">
        <f>IFERROR(__xludf.DUMMYFUNCTION("""COMPUTED_VALUE"""),"")</f>
        <v/>
      </c>
    </row>
    <row r="413">
      <c r="A413" s="2"/>
      <c r="B413" s="2"/>
      <c r="C413" s="2" t="str">
        <f t="shared" si="1"/>
        <v> </v>
      </c>
      <c r="D413" s="2" t="str">
        <f>IFERROR(__xludf.DUMMYFUNCTION("""COMPUTED_VALUE"""),"")</f>
        <v/>
      </c>
      <c r="E413" s="2" t="str">
        <f>IFERROR(__xludf.DUMMYFUNCTION("""COMPUTED_VALUE"""),"")</f>
        <v/>
      </c>
    </row>
    <row r="414">
      <c r="A414" s="2"/>
      <c r="B414" s="2"/>
      <c r="C414" s="2" t="str">
        <f t="shared" si="1"/>
        <v> </v>
      </c>
      <c r="D414" s="2" t="str">
        <f>IFERROR(__xludf.DUMMYFUNCTION("""COMPUTED_VALUE"""),"")</f>
        <v/>
      </c>
      <c r="E414" s="2" t="str">
        <f>IFERROR(__xludf.DUMMYFUNCTION("""COMPUTED_VALUE"""),"")</f>
        <v/>
      </c>
    </row>
    <row r="415">
      <c r="A415" s="2"/>
      <c r="B415" s="2"/>
      <c r="C415" s="2" t="str">
        <f t="shared" si="1"/>
        <v> </v>
      </c>
      <c r="D415" s="2" t="str">
        <f>IFERROR(__xludf.DUMMYFUNCTION("""COMPUTED_VALUE"""),"")</f>
        <v/>
      </c>
      <c r="E415" s="2" t="str">
        <f>IFERROR(__xludf.DUMMYFUNCTION("""COMPUTED_VALUE"""),"")</f>
        <v/>
      </c>
    </row>
    <row r="416">
      <c r="A416" s="2"/>
      <c r="B416" s="2"/>
      <c r="C416" s="2" t="str">
        <f t="shared" si="1"/>
        <v> </v>
      </c>
      <c r="D416" s="2" t="str">
        <f>IFERROR(__xludf.DUMMYFUNCTION("""COMPUTED_VALUE"""),"")</f>
        <v/>
      </c>
      <c r="E416" s="2" t="str">
        <f>IFERROR(__xludf.DUMMYFUNCTION("""COMPUTED_VALUE"""),"")</f>
        <v/>
      </c>
    </row>
    <row r="417">
      <c r="A417" s="2"/>
      <c r="B417" s="2"/>
      <c r="C417" s="2" t="str">
        <f t="shared" si="1"/>
        <v> </v>
      </c>
      <c r="D417" s="2" t="str">
        <f>IFERROR(__xludf.DUMMYFUNCTION("""COMPUTED_VALUE"""),"")</f>
        <v/>
      </c>
      <c r="E417" s="2" t="str">
        <f>IFERROR(__xludf.DUMMYFUNCTION("""COMPUTED_VALUE"""),"")</f>
        <v/>
      </c>
    </row>
    <row r="418">
      <c r="A418" s="2"/>
      <c r="B418" s="2"/>
      <c r="C418" s="2" t="str">
        <f t="shared" si="1"/>
        <v> </v>
      </c>
      <c r="D418" s="2" t="str">
        <f>IFERROR(__xludf.DUMMYFUNCTION("""COMPUTED_VALUE"""),"")</f>
        <v/>
      </c>
      <c r="E418" s="2" t="str">
        <f>IFERROR(__xludf.DUMMYFUNCTION("""COMPUTED_VALUE"""),"")</f>
        <v/>
      </c>
    </row>
    <row r="419">
      <c r="A419" s="2"/>
      <c r="B419" s="2"/>
      <c r="C419" s="2" t="str">
        <f t="shared" si="1"/>
        <v> </v>
      </c>
      <c r="D419" s="2" t="str">
        <f>IFERROR(__xludf.DUMMYFUNCTION("""COMPUTED_VALUE"""),"")</f>
        <v/>
      </c>
      <c r="E419" s="2" t="str">
        <f>IFERROR(__xludf.DUMMYFUNCTION("""COMPUTED_VALUE"""),"")</f>
        <v/>
      </c>
    </row>
    <row r="420">
      <c r="A420" s="2"/>
      <c r="B420" s="2"/>
      <c r="C420" s="2" t="str">
        <f t="shared" si="1"/>
        <v> </v>
      </c>
      <c r="D420" s="2" t="str">
        <f>IFERROR(__xludf.DUMMYFUNCTION("""COMPUTED_VALUE"""),"")</f>
        <v/>
      </c>
      <c r="E420" s="2" t="str">
        <f>IFERROR(__xludf.DUMMYFUNCTION("""COMPUTED_VALUE"""),"")</f>
        <v/>
      </c>
    </row>
    <row r="421">
      <c r="A421" s="2"/>
      <c r="B421" s="2"/>
      <c r="C421" s="2" t="str">
        <f t="shared" si="1"/>
        <v> </v>
      </c>
      <c r="D421" s="2" t="str">
        <f>IFERROR(__xludf.DUMMYFUNCTION("""COMPUTED_VALUE"""),"")</f>
        <v/>
      </c>
      <c r="E421" s="2" t="str">
        <f>IFERROR(__xludf.DUMMYFUNCTION("""COMPUTED_VALUE"""),"")</f>
        <v/>
      </c>
    </row>
    <row r="422">
      <c r="A422" s="2"/>
      <c r="B422" s="2"/>
      <c r="C422" s="2" t="str">
        <f t="shared" si="1"/>
        <v> </v>
      </c>
      <c r="D422" s="2" t="str">
        <f>IFERROR(__xludf.DUMMYFUNCTION("""COMPUTED_VALUE"""),"")</f>
        <v/>
      </c>
      <c r="E422" s="2" t="str">
        <f>IFERROR(__xludf.DUMMYFUNCTION("""COMPUTED_VALUE"""),"")</f>
        <v/>
      </c>
    </row>
    <row r="423">
      <c r="A423" s="2"/>
      <c r="B423" s="2"/>
      <c r="C423" s="2" t="str">
        <f t="shared" si="1"/>
        <v> </v>
      </c>
      <c r="D423" s="2" t="str">
        <f>IFERROR(__xludf.DUMMYFUNCTION("""COMPUTED_VALUE"""),"")</f>
        <v/>
      </c>
      <c r="E423" s="2" t="str">
        <f>IFERROR(__xludf.DUMMYFUNCTION("""COMPUTED_VALUE"""),"")</f>
        <v/>
      </c>
    </row>
    <row r="424">
      <c r="A424" s="2"/>
      <c r="B424" s="2"/>
      <c r="C424" s="2" t="str">
        <f t="shared" si="1"/>
        <v> </v>
      </c>
      <c r="D424" s="2" t="str">
        <f>IFERROR(__xludf.DUMMYFUNCTION("""COMPUTED_VALUE"""),"")</f>
        <v/>
      </c>
      <c r="E424" s="2" t="str">
        <f>IFERROR(__xludf.DUMMYFUNCTION("""COMPUTED_VALUE"""),"")</f>
        <v/>
      </c>
    </row>
    <row r="425">
      <c r="A425" s="2"/>
      <c r="B425" s="2"/>
      <c r="C425" s="2" t="str">
        <f t="shared" si="1"/>
        <v> </v>
      </c>
      <c r="D425" s="2" t="str">
        <f>IFERROR(__xludf.DUMMYFUNCTION("""COMPUTED_VALUE"""),"")</f>
        <v/>
      </c>
      <c r="E425" s="2" t="str">
        <f>IFERROR(__xludf.DUMMYFUNCTION("""COMPUTED_VALUE"""),"")</f>
        <v/>
      </c>
    </row>
    <row r="426">
      <c r="A426" s="2"/>
      <c r="B426" s="2"/>
      <c r="C426" s="2" t="str">
        <f t="shared" si="1"/>
        <v> </v>
      </c>
      <c r="D426" s="2" t="str">
        <f>IFERROR(__xludf.DUMMYFUNCTION("""COMPUTED_VALUE"""),"")</f>
        <v/>
      </c>
      <c r="E426" s="2" t="str">
        <f>IFERROR(__xludf.DUMMYFUNCTION("""COMPUTED_VALUE"""),"")</f>
        <v/>
      </c>
    </row>
    <row r="427">
      <c r="A427" s="2"/>
      <c r="B427" s="2"/>
      <c r="C427" s="2" t="str">
        <f t="shared" si="1"/>
        <v> </v>
      </c>
      <c r="D427" s="2" t="str">
        <f>IFERROR(__xludf.DUMMYFUNCTION("""COMPUTED_VALUE"""),"")</f>
        <v/>
      </c>
      <c r="E427" s="2" t="str">
        <f>IFERROR(__xludf.DUMMYFUNCTION("""COMPUTED_VALUE"""),"")</f>
        <v/>
      </c>
    </row>
    <row r="428">
      <c r="A428" s="2"/>
      <c r="B428" s="2"/>
      <c r="C428" s="2" t="str">
        <f t="shared" si="1"/>
        <v> </v>
      </c>
      <c r="D428" s="2" t="str">
        <f>IFERROR(__xludf.DUMMYFUNCTION("""COMPUTED_VALUE"""),"")</f>
        <v/>
      </c>
      <c r="E428" s="2" t="str">
        <f>IFERROR(__xludf.DUMMYFUNCTION("""COMPUTED_VALUE"""),"")</f>
        <v/>
      </c>
    </row>
    <row r="429">
      <c r="A429" s="2"/>
      <c r="B429" s="2"/>
      <c r="C429" s="2" t="str">
        <f t="shared" si="1"/>
        <v> </v>
      </c>
      <c r="D429" s="2" t="str">
        <f>IFERROR(__xludf.DUMMYFUNCTION("""COMPUTED_VALUE"""),"")</f>
        <v/>
      </c>
      <c r="E429" s="2" t="str">
        <f>IFERROR(__xludf.DUMMYFUNCTION("""COMPUTED_VALUE"""),"")</f>
        <v/>
      </c>
    </row>
    <row r="430">
      <c r="A430" s="2"/>
      <c r="B430" s="2"/>
      <c r="C430" s="2" t="str">
        <f t="shared" si="1"/>
        <v> </v>
      </c>
      <c r="D430" s="2" t="str">
        <f>IFERROR(__xludf.DUMMYFUNCTION("""COMPUTED_VALUE"""),"")</f>
        <v/>
      </c>
      <c r="E430" s="2" t="str">
        <f>IFERROR(__xludf.DUMMYFUNCTION("""COMPUTED_VALUE"""),"")</f>
        <v/>
      </c>
    </row>
    <row r="431">
      <c r="A431" s="2"/>
      <c r="B431" s="2"/>
      <c r="C431" s="2" t="str">
        <f t="shared" si="1"/>
        <v> </v>
      </c>
      <c r="D431" s="2" t="str">
        <f>IFERROR(__xludf.DUMMYFUNCTION("""COMPUTED_VALUE"""),"")</f>
        <v/>
      </c>
      <c r="E431" s="2" t="str">
        <f>IFERROR(__xludf.DUMMYFUNCTION("""COMPUTED_VALUE"""),"")</f>
        <v/>
      </c>
    </row>
    <row r="432">
      <c r="A432" s="2"/>
      <c r="B432" s="2"/>
      <c r="C432" s="2" t="str">
        <f t="shared" si="1"/>
        <v> </v>
      </c>
      <c r="D432" s="2" t="str">
        <f>IFERROR(__xludf.DUMMYFUNCTION("""COMPUTED_VALUE"""),"")</f>
        <v/>
      </c>
      <c r="E432" s="2" t="str">
        <f>IFERROR(__xludf.DUMMYFUNCTION("""COMPUTED_VALUE"""),"")</f>
        <v/>
      </c>
    </row>
    <row r="433">
      <c r="A433" s="2"/>
      <c r="B433" s="2"/>
      <c r="C433" s="2" t="str">
        <f t="shared" si="1"/>
        <v> </v>
      </c>
      <c r="D433" s="2" t="str">
        <f>IFERROR(__xludf.DUMMYFUNCTION("""COMPUTED_VALUE"""),"")</f>
        <v/>
      </c>
      <c r="E433" s="2" t="str">
        <f>IFERROR(__xludf.DUMMYFUNCTION("""COMPUTED_VALUE"""),"")</f>
        <v/>
      </c>
    </row>
    <row r="434">
      <c r="A434" s="2"/>
      <c r="B434" s="2"/>
      <c r="C434" s="2" t="str">
        <f t="shared" si="1"/>
        <v> </v>
      </c>
      <c r="D434" s="2" t="str">
        <f>IFERROR(__xludf.DUMMYFUNCTION("""COMPUTED_VALUE"""),"")</f>
        <v/>
      </c>
      <c r="E434" s="2" t="str">
        <f>IFERROR(__xludf.DUMMYFUNCTION("""COMPUTED_VALUE"""),"")</f>
        <v/>
      </c>
    </row>
    <row r="435">
      <c r="A435" s="2"/>
      <c r="B435" s="2"/>
      <c r="C435" s="2" t="str">
        <f t="shared" si="1"/>
        <v> </v>
      </c>
      <c r="D435" s="2" t="str">
        <f>IFERROR(__xludf.DUMMYFUNCTION("""COMPUTED_VALUE"""),"")</f>
        <v/>
      </c>
      <c r="E435" s="2" t="str">
        <f>IFERROR(__xludf.DUMMYFUNCTION("""COMPUTED_VALUE"""),"")</f>
        <v/>
      </c>
    </row>
    <row r="436">
      <c r="A436" s="2"/>
      <c r="B436" s="2"/>
      <c r="C436" s="2" t="str">
        <f t="shared" si="1"/>
        <v> </v>
      </c>
      <c r="D436" s="2" t="str">
        <f>IFERROR(__xludf.DUMMYFUNCTION("""COMPUTED_VALUE"""),"")</f>
        <v/>
      </c>
      <c r="E436" s="2" t="str">
        <f>IFERROR(__xludf.DUMMYFUNCTION("""COMPUTED_VALUE"""),"")</f>
        <v/>
      </c>
    </row>
    <row r="437">
      <c r="A437" s="2"/>
      <c r="B437" s="2"/>
      <c r="C437" s="2" t="str">
        <f t="shared" si="1"/>
        <v> </v>
      </c>
      <c r="D437" s="2" t="str">
        <f>IFERROR(__xludf.DUMMYFUNCTION("""COMPUTED_VALUE"""),"")</f>
        <v/>
      </c>
      <c r="E437" s="2" t="str">
        <f>IFERROR(__xludf.DUMMYFUNCTION("""COMPUTED_VALUE"""),"")</f>
        <v/>
      </c>
    </row>
    <row r="438">
      <c r="A438" s="2"/>
      <c r="B438" s="2"/>
      <c r="C438" s="2" t="str">
        <f t="shared" si="1"/>
        <v> </v>
      </c>
      <c r="D438" s="2" t="str">
        <f>IFERROR(__xludf.DUMMYFUNCTION("""COMPUTED_VALUE"""),"")</f>
        <v/>
      </c>
      <c r="E438" s="2" t="str">
        <f>IFERROR(__xludf.DUMMYFUNCTION("""COMPUTED_VALUE"""),"")</f>
        <v/>
      </c>
    </row>
    <row r="439">
      <c r="A439" s="2"/>
      <c r="B439" s="2"/>
      <c r="C439" s="2" t="str">
        <f t="shared" si="1"/>
        <v> </v>
      </c>
      <c r="D439" s="2" t="str">
        <f>IFERROR(__xludf.DUMMYFUNCTION("""COMPUTED_VALUE"""),"")</f>
        <v/>
      </c>
      <c r="E439" s="2" t="str">
        <f>IFERROR(__xludf.DUMMYFUNCTION("""COMPUTED_VALUE"""),"")</f>
        <v/>
      </c>
    </row>
    <row r="440">
      <c r="A440" s="2"/>
      <c r="B440" s="2"/>
      <c r="C440" s="2" t="str">
        <f t="shared" si="1"/>
        <v> </v>
      </c>
      <c r="D440" s="2" t="str">
        <f>IFERROR(__xludf.DUMMYFUNCTION("""COMPUTED_VALUE"""),"")</f>
        <v/>
      </c>
      <c r="E440" s="2" t="str">
        <f>IFERROR(__xludf.DUMMYFUNCTION("""COMPUTED_VALUE"""),"")</f>
        <v/>
      </c>
    </row>
    <row r="441">
      <c r="A441" s="2"/>
      <c r="B441" s="2"/>
      <c r="C441" s="2" t="str">
        <f t="shared" si="1"/>
        <v> </v>
      </c>
      <c r="D441" s="2" t="str">
        <f>IFERROR(__xludf.DUMMYFUNCTION("""COMPUTED_VALUE"""),"")</f>
        <v/>
      </c>
      <c r="E441" s="2" t="str">
        <f>IFERROR(__xludf.DUMMYFUNCTION("""COMPUTED_VALUE"""),"")</f>
        <v/>
      </c>
    </row>
    <row r="442">
      <c r="A442" s="2"/>
      <c r="B442" s="2"/>
      <c r="C442" s="2" t="str">
        <f t="shared" si="1"/>
        <v> </v>
      </c>
      <c r="D442" s="2" t="str">
        <f>IFERROR(__xludf.DUMMYFUNCTION("""COMPUTED_VALUE"""),"")</f>
        <v/>
      </c>
      <c r="E442" s="2" t="str">
        <f>IFERROR(__xludf.DUMMYFUNCTION("""COMPUTED_VALUE"""),"")</f>
        <v/>
      </c>
    </row>
    <row r="443">
      <c r="A443" s="2"/>
      <c r="B443" s="2"/>
      <c r="C443" s="2" t="str">
        <f t="shared" si="1"/>
        <v> </v>
      </c>
      <c r="D443" s="2" t="str">
        <f>IFERROR(__xludf.DUMMYFUNCTION("""COMPUTED_VALUE"""),"")</f>
        <v/>
      </c>
      <c r="E443" s="2" t="str">
        <f>IFERROR(__xludf.DUMMYFUNCTION("""COMPUTED_VALUE"""),"")</f>
        <v/>
      </c>
    </row>
    <row r="444">
      <c r="A444" s="2"/>
      <c r="B444" s="2"/>
      <c r="C444" s="2" t="str">
        <f t="shared" si="1"/>
        <v> </v>
      </c>
      <c r="D444" s="2" t="str">
        <f>IFERROR(__xludf.DUMMYFUNCTION("""COMPUTED_VALUE"""),"")</f>
        <v/>
      </c>
      <c r="E444" s="2" t="str">
        <f>IFERROR(__xludf.DUMMYFUNCTION("""COMPUTED_VALUE"""),"")</f>
        <v/>
      </c>
    </row>
    <row r="445">
      <c r="A445" s="2"/>
      <c r="B445" s="2"/>
      <c r="C445" s="2" t="str">
        <f t="shared" si="1"/>
        <v> </v>
      </c>
      <c r="D445" s="2" t="str">
        <f>IFERROR(__xludf.DUMMYFUNCTION("""COMPUTED_VALUE"""),"")</f>
        <v/>
      </c>
      <c r="E445" s="2" t="str">
        <f>IFERROR(__xludf.DUMMYFUNCTION("""COMPUTED_VALUE"""),"")</f>
        <v/>
      </c>
    </row>
    <row r="446">
      <c r="A446" s="2"/>
      <c r="B446" s="2"/>
      <c r="C446" s="2" t="str">
        <f t="shared" si="1"/>
        <v> </v>
      </c>
      <c r="D446" s="2" t="str">
        <f>IFERROR(__xludf.DUMMYFUNCTION("""COMPUTED_VALUE"""),"")</f>
        <v/>
      </c>
      <c r="E446" s="2" t="str">
        <f>IFERROR(__xludf.DUMMYFUNCTION("""COMPUTED_VALUE"""),"")</f>
        <v/>
      </c>
    </row>
    <row r="447">
      <c r="A447" s="2"/>
      <c r="B447" s="2"/>
      <c r="C447" s="2" t="str">
        <f t="shared" si="1"/>
        <v> </v>
      </c>
      <c r="D447" s="2" t="str">
        <f>IFERROR(__xludf.DUMMYFUNCTION("""COMPUTED_VALUE"""),"")</f>
        <v/>
      </c>
      <c r="E447" s="2" t="str">
        <f>IFERROR(__xludf.DUMMYFUNCTION("""COMPUTED_VALUE"""),"")</f>
        <v/>
      </c>
    </row>
    <row r="448">
      <c r="A448" s="2"/>
      <c r="B448" s="2"/>
      <c r="C448" s="2" t="str">
        <f t="shared" si="1"/>
        <v> </v>
      </c>
      <c r="D448" s="2" t="str">
        <f>IFERROR(__xludf.DUMMYFUNCTION("""COMPUTED_VALUE"""),"")</f>
        <v/>
      </c>
      <c r="E448" s="2" t="str">
        <f>IFERROR(__xludf.DUMMYFUNCTION("""COMPUTED_VALUE"""),"")</f>
        <v/>
      </c>
    </row>
    <row r="449">
      <c r="A449" s="2"/>
      <c r="B449" s="2"/>
      <c r="C449" s="2" t="str">
        <f t="shared" si="1"/>
        <v> </v>
      </c>
      <c r="D449" s="2" t="str">
        <f>IFERROR(__xludf.DUMMYFUNCTION("""COMPUTED_VALUE"""),"")</f>
        <v/>
      </c>
      <c r="E449" s="2" t="str">
        <f>IFERROR(__xludf.DUMMYFUNCTION("""COMPUTED_VALUE"""),"")</f>
        <v/>
      </c>
    </row>
    <row r="450">
      <c r="A450" s="2"/>
      <c r="B450" s="2"/>
      <c r="C450" s="2" t="str">
        <f t="shared" si="1"/>
        <v> </v>
      </c>
      <c r="D450" s="2" t="str">
        <f>IFERROR(__xludf.DUMMYFUNCTION("""COMPUTED_VALUE"""),"")</f>
        <v/>
      </c>
      <c r="E450" s="2" t="str">
        <f>IFERROR(__xludf.DUMMYFUNCTION("""COMPUTED_VALUE"""),"")</f>
        <v/>
      </c>
    </row>
    <row r="451">
      <c r="A451" s="2"/>
      <c r="B451" s="2"/>
      <c r="C451" s="2" t="str">
        <f t="shared" si="1"/>
        <v> </v>
      </c>
      <c r="D451" s="2" t="str">
        <f>IFERROR(__xludf.DUMMYFUNCTION("""COMPUTED_VALUE"""),"")</f>
        <v/>
      </c>
      <c r="E451" s="2" t="str">
        <f>IFERROR(__xludf.DUMMYFUNCTION("""COMPUTED_VALUE"""),"")</f>
        <v/>
      </c>
    </row>
    <row r="452">
      <c r="A452" s="2"/>
      <c r="B452" s="2"/>
      <c r="C452" s="2" t="str">
        <f t="shared" si="1"/>
        <v> </v>
      </c>
      <c r="D452" s="2" t="str">
        <f>IFERROR(__xludf.DUMMYFUNCTION("""COMPUTED_VALUE"""),"")</f>
        <v/>
      </c>
      <c r="E452" s="2" t="str">
        <f>IFERROR(__xludf.DUMMYFUNCTION("""COMPUTED_VALUE"""),"")</f>
        <v/>
      </c>
    </row>
    <row r="453">
      <c r="A453" s="2"/>
      <c r="B453" s="2"/>
      <c r="C453" s="2" t="str">
        <f t="shared" si="1"/>
        <v> </v>
      </c>
      <c r="D453" s="2" t="str">
        <f>IFERROR(__xludf.DUMMYFUNCTION("""COMPUTED_VALUE"""),"")</f>
        <v/>
      </c>
      <c r="E453" s="2" t="str">
        <f>IFERROR(__xludf.DUMMYFUNCTION("""COMPUTED_VALUE"""),"")</f>
        <v/>
      </c>
    </row>
    <row r="454">
      <c r="A454" s="2"/>
      <c r="B454" s="2"/>
      <c r="C454" s="2" t="str">
        <f t="shared" si="1"/>
        <v> </v>
      </c>
      <c r="D454" s="2" t="str">
        <f>IFERROR(__xludf.DUMMYFUNCTION("""COMPUTED_VALUE"""),"")</f>
        <v/>
      </c>
      <c r="E454" s="2" t="str">
        <f>IFERROR(__xludf.DUMMYFUNCTION("""COMPUTED_VALUE"""),"")</f>
        <v/>
      </c>
    </row>
    <row r="455">
      <c r="A455" s="2"/>
      <c r="B455" s="2"/>
      <c r="C455" s="2" t="str">
        <f t="shared" si="1"/>
        <v> </v>
      </c>
      <c r="D455" s="2" t="str">
        <f>IFERROR(__xludf.DUMMYFUNCTION("""COMPUTED_VALUE"""),"")</f>
        <v/>
      </c>
      <c r="E455" s="2" t="str">
        <f>IFERROR(__xludf.DUMMYFUNCTION("""COMPUTED_VALUE"""),"")</f>
        <v/>
      </c>
    </row>
    <row r="456">
      <c r="A456" s="2"/>
      <c r="B456" s="2"/>
      <c r="C456" s="2" t="str">
        <f t="shared" si="1"/>
        <v> </v>
      </c>
      <c r="D456" s="2" t="str">
        <f>IFERROR(__xludf.DUMMYFUNCTION("""COMPUTED_VALUE"""),"")</f>
        <v/>
      </c>
      <c r="E456" s="2" t="str">
        <f>IFERROR(__xludf.DUMMYFUNCTION("""COMPUTED_VALUE"""),"")</f>
        <v/>
      </c>
    </row>
    <row r="457">
      <c r="A457" s="2"/>
      <c r="B457" s="2"/>
      <c r="C457" s="2" t="str">
        <f t="shared" si="1"/>
        <v> </v>
      </c>
      <c r="D457" s="2" t="str">
        <f>IFERROR(__xludf.DUMMYFUNCTION("""COMPUTED_VALUE"""),"")</f>
        <v/>
      </c>
      <c r="E457" s="2" t="str">
        <f>IFERROR(__xludf.DUMMYFUNCTION("""COMPUTED_VALUE"""),"")</f>
        <v/>
      </c>
    </row>
    <row r="458">
      <c r="A458" s="2"/>
      <c r="B458" s="2"/>
      <c r="C458" s="2" t="str">
        <f t="shared" si="1"/>
        <v> </v>
      </c>
      <c r="D458" s="2" t="str">
        <f>IFERROR(__xludf.DUMMYFUNCTION("""COMPUTED_VALUE"""),"")</f>
        <v/>
      </c>
      <c r="E458" s="2" t="str">
        <f>IFERROR(__xludf.DUMMYFUNCTION("""COMPUTED_VALUE"""),"")</f>
        <v/>
      </c>
    </row>
    <row r="459">
      <c r="A459" s="2"/>
      <c r="B459" s="2"/>
      <c r="C459" s="2" t="str">
        <f t="shared" si="1"/>
        <v> </v>
      </c>
      <c r="D459" s="2" t="str">
        <f>IFERROR(__xludf.DUMMYFUNCTION("""COMPUTED_VALUE"""),"")</f>
        <v/>
      </c>
      <c r="E459" s="2" t="str">
        <f>IFERROR(__xludf.DUMMYFUNCTION("""COMPUTED_VALUE"""),"")</f>
        <v/>
      </c>
    </row>
    <row r="460">
      <c r="A460" s="2"/>
      <c r="B460" s="2"/>
      <c r="C460" s="2" t="str">
        <f t="shared" si="1"/>
        <v> </v>
      </c>
      <c r="D460" s="2" t="str">
        <f>IFERROR(__xludf.DUMMYFUNCTION("""COMPUTED_VALUE"""),"")</f>
        <v/>
      </c>
      <c r="E460" s="2" t="str">
        <f>IFERROR(__xludf.DUMMYFUNCTION("""COMPUTED_VALUE"""),"")</f>
        <v/>
      </c>
    </row>
    <row r="461">
      <c r="A461" s="2"/>
      <c r="B461" s="2"/>
      <c r="C461" s="2" t="str">
        <f t="shared" si="1"/>
        <v> </v>
      </c>
      <c r="D461" s="2" t="str">
        <f>IFERROR(__xludf.DUMMYFUNCTION("""COMPUTED_VALUE"""),"")</f>
        <v/>
      </c>
      <c r="E461" s="2" t="str">
        <f>IFERROR(__xludf.DUMMYFUNCTION("""COMPUTED_VALUE"""),"")</f>
        <v/>
      </c>
    </row>
    <row r="462">
      <c r="A462" s="2"/>
      <c r="B462" s="2"/>
      <c r="C462" s="2" t="str">
        <f t="shared" si="1"/>
        <v> </v>
      </c>
      <c r="D462" s="2" t="str">
        <f>IFERROR(__xludf.DUMMYFUNCTION("""COMPUTED_VALUE"""),"")</f>
        <v/>
      </c>
      <c r="E462" s="2" t="str">
        <f>IFERROR(__xludf.DUMMYFUNCTION("""COMPUTED_VALUE"""),"")</f>
        <v/>
      </c>
    </row>
    <row r="463">
      <c r="A463" s="2"/>
      <c r="B463" s="2"/>
      <c r="C463" s="2" t="str">
        <f t="shared" si="1"/>
        <v> </v>
      </c>
      <c r="D463" s="2" t="str">
        <f>IFERROR(__xludf.DUMMYFUNCTION("""COMPUTED_VALUE"""),"")</f>
        <v/>
      </c>
      <c r="E463" s="2" t="str">
        <f>IFERROR(__xludf.DUMMYFUNCTION("""COMPUTED_VALUE"""),"")</f>
        <v/>
      </c>
    </row>
    <row r="464">
      <c r="A464" s="2"/>
      <c r="B464" s="2"/>
      <c r="C464" s="2" t="str">
        <f t="shared" si="1"/>
        <v> </v>
      </c>
      <c r="D464" s="2" t="str">
        <f>IFERROR(__xludf.DUMMYFUNCTION("""COMPUTED_VALUE"""),"")</f>
        <v/>
      </c>
      <c r="E464" s="2" t="str">
        <f>IFERROR(__xludf.DUMMYFUNCTION("""COMPUTED_VALUE"""),"")</f>
        <v/>
      </c>
    </row>
    <row r="465">
      <c r="A465" s="2"/>
      <c r="B465" s="2"/>
      <c r="C465" s="2" t="str">
        <f t="shared" si="1"/>
        <v> </v>
      </c>
      <c r="D465" s="2" t="str">
        <f>IFERROR(__xludf.DUMMYFUNCTION("""COMPUTED_VALUE"""),"")</f>
        <v/>
      </c>
      <c r="E465" s="2" t="str">
        <f>IFERROR(__xludf.DUMMYFUNCTION("""COMPUTED_VALUE"""),"")</f>
        <v/>
      </c>
    </row>
    <row r="466">
      <c r="A466" s="2"/>
      <c r="B466" s="2"/>
      <c r="C466" s="2" t="str">
        <f t="shared" si="1"/>
        <v> </v>
      </c>
      <c r="D466" s="2" t="str">
        <f>IFERROR(__xludf.DUMMYFUNCTION("""COMPUTED_VALUE"""),"")</f>
        <v/>
      </c>
      <c r="E466" s="2" t="str">
        <f>IFERROR(__xludf.DUMMYFUNCTION("""COMPUTED_VALUE"""),"")</f>
        <v/>
      </c>
    </row>
    <row r="467">
      <c r="A467" s="2"/>
      <c r="B467" s="2"/>
      <c r="C467" s="2" t="str">
        <f t="shared" si="1"/>
        <v> </v>
      </c>
      <c r="D467" s="2" t="str">
        <f>IFERROR(__xludf.DUMMYFUNCTION("""COMPUTED_VALUE"""),"")</f>
        <v/>
      </c>
      <c r="E467" s="2" t="str">
        <f>IFERROR(__xludf.DUMMYFUNCTION("""COMPUTED_VALUE"""),"")</f>
        <v/>
      </c>
    </row>
    <row r="468">
      <c r="A468" s="2"/>
      <c r="B468" s="2"/>
      <c r="C468" s="2" t="str">
        <f t="shared" si="1"/>
        <v> </v>
      </c>
      <c r="D468" s="2" t="str">
        <f>IFERROR(__xludf.DUMMYFUNCTION("""COMPUTED_VALUE"""),"")</f>
        <v/>
      </c>
      <c r="E468" s="2" t="str">
        <f>IFERROR(__xludf.DUMMYFUNCTION("""COMPUTED_VALUE"""),"")</f>
        <v/>
      </c>
    </row>
    <row r="469">
      <c r="A469" s="2"/>
      <c r="B469" s="2"/>
      <c r="C469" s="2" t="str">
        <f t="shared" si="1"/>
        <v> </v>
      </c>
      <c r="D469" s="2" t="str">
        <f>IFERROR(__xludf.DUMMYFUNCTION("""COMPUTED_VALUE"""),"")</f>
        <v/>
      </c>
      <c r="E469" s="2" t="str">
        <f>IFERROR(__xludf.DUMMYFUNCTION("""COMPUTED_VALUE"""),"")</f>
        <v/>
      </c>
    </row>
    <row r="470">
      <c r="A470" s="2"/>
      <c r="B470" s="2"/>
      <c r="C470" s="2" t="str">
        <f t="shared" si="1"/>
        <v> </v>
      </c>
      <c r="D470" s="2" t="str">
        <f>IFERROR(__xludf.DUMMYFUNCTION("""COMPUTED_VALUE"""),"")</f>
        <v/>
      </c>
      <c r="E470" s="2" t="str">
        <f>IFERROR(__xludf.DUMMYFUNCTION("""COMPUTED_VALUE"""),"")</f>
        <v/>
      </c>
    </row>
    <row r="471">
      <c r="A471" s="2"/>
      <c r="B471" s="2"/>
      <c r="C471" s="2" t="str">
        <f t="shared" si="1"/>
        <v> </v>
      </c>
      <c r="D471" s="2" t="str">
        <f>IFERROR(__xludf.DUMMYFUNCTION("""COMPUTED_VALUE"""),"")</f>
        <v/>
      </c>
      <c r="E471" s="2" t="str">
        <f>IFERROR(__xludf.DUMMYFUNCTION("""COMPUTED_VALUE"""),"")</f>
        <v/>
      </c>
    </row>
    <row r="472">
      <c r="A472" s="2"/>
      <c r="B472" s="2"/>
      <c r="C472" s="2" t="str">
        <f t="shared" si="1"/>
        <v> </v>
      </c>
      <c r="D472" s="2" t="str">
        <f>IFERROR(__xludf.DUMMYFUNCTION("""COMPUTED_VALUE"""),"")</f>
        <v/>
      </c>
      <c r="E472" s="2" t="str">
        <f>IFERROR(__xludf.DUMMYFUNCTION("""COMPUTED_VALUE"""),"")</f>
        <v/>
      </c>
    </row>
    <row r="473">
      <c r="A473" s="2"/>
      <c r="B473" s="2"/>
      <c r="C473" s="2" t="str">
        <f t="shared" si="1"/>
        <v> </v>
      </c>
      <c r="D473" s="2" t="str">
        <f>IFERROR(__xludf.DUMMYFUNCTION("""COMPUTED_VALUE"""),"")</f>
        <v/>
      </c>
      <c r="E473" s="2" t="str">
        <f>IFERROR(__xludf.DUMMYFUNCTION("""COMPUTED_VALUE"""),"")</f>
        <v/>
      </c>
    </row>
    <row r="474">
      <c r="A474" s="2"/>
      <c r="B474" s="2"/>
      <c r="C474" s="2" t="str">
        <f t="shared" si="1"/>
        <v> </v>
      </c>
      <c r="D474" s="2" t="str">
        <f>IFERROR(__xludf.DUMMYFUNCTION("""COMPUTED_VALUE"""),"")</f>
        <v/>
      </c>
      <c r="E474" s="2" t="str">
        <f>IFERROR(__xludf.DUMMYFUNCTION("""COMPUTED_VALUE"""),"")</f>
        <v/>
      </c>
    </row>
    <row r="475">
      <c r="A475" s="2"/>
      <c r="B475" s="2"/>
      <c r="C475" s="2" t="str">
        <f t="shared" si="1"/>
        <v> </v>
      </c>
      <c r="D475" s="2" t="str">
        <f>IFERROR(__xludf.DUMMYFUNCTION("""COMPUTED_VALUE"""),"")</f>
        <v/>
      </c>
      <c r="E475" s="2" t="str">
        <f>IFERROR(__xludf.DUMMYFUNCTION("""COMPUTED_VALUE"""),"")</f>
        <v/>
      </c>
    </row>
    <row r="476">
      <c r="A476" s="2"/>
      <c r="B476" s="2"/>
      <c r="C476" s="2" t="str">
        <f t="shared" si="1"/>
        <v> </v>
      </c>
      <c r="D476" s="2" t="str">
        <f>IFERROR(__xludf.DUMMYFUNCTION("""COMPUTED_VALUE"""),"")</f>
        <v/>
      </c>
      <c r="E476" s="2" t="str">
        <f>IFERROR(__xludf.DUMMYFUNCTION("""COMPUTED_VALUE"""),"")</f>
        <v/>
      </c>
    </row>
    <row r="477">
      <c r="A477" s="2"/>
      <c r="B477" s="2"/>
      <c r="C477" s="2" t="str">
        <f t="shared" si="1"/>
        <v> </v>
      </c>
      <c r="D477" s="2" t="str">
        <f>IFERROR(__xludf.DUMMYFUNCTION("""COMPUTED_VALUE"""),"")</f>
        <v/>
      </c>
      <c r="E477" s="2" t="str">
        <f>IFERROR(__xludf.DUMMYFUNCTION("""COMPUTED_VALUE"""),"")</f>
        <v/>
      </c>
    </row>
    <row r="478">
      <c r="A478" s="2"/>
      <c r="B478" s="2"/>
      <c r="C478" s="2" t="str">
        <f t="shared" si="1"/>
        <v> </v>
      </c>
      <c r="D478" s="2" t="str">
        <f>IFERROR(__xludf.DUMMYFUNCTION("""COMPUTED_VALUE"""),"")</f>
        <v/>
      </c>
      <c r="E478" s="2" t="str">
        <f>IFERROR(__xludf.DUMMYFUNCTION("""COMPUTED_VALUE"""),"")</f>
        <v/>
      </c>
    </row>
    <row r="479">
      <c r="A479" s="2"/>
      <c r="B479" s="2"/>
      <c r="C479" s="2" t="str">
        <f t="shared" si="1"/>
        <v> </v>
      </c>
      <c r="D479" s="2" t="str">
        <f>IFERROR(__xludf.DUMMYFUNCTION("""COMPUTED_VALUE"""),"")</f>
        <v/>
      </c>
      <c r="E479" s="2" t="str">
        <f>IFERROR(__xludf.DUMMYFUNCTION("""COMPUTED_VALUE"""),"")</f>
        <v/>
      </c>
    </row>
    <row r="480">
      <c r="A480" s="2"/>
      <c r="B480" s="2"/>
      <c r="C480" s="2" t="str">
        <f t="shared" si="1"/>
        <v> </v>
      </c>
      <c r="D480" s="2" t="str">
        <f>IFERROR(__xludf.DUMMYFUNCTION("""COMPUTED_VALUE"""),"")</f>
        <v/>
      </c>
      <c r="E480" s="2" t="str">
        <f>IFERROR(__xludf.DUMMYFUNCTION("""COMPUTED_VALUE"""),"")</f>
        <v/>
      </c>
    </row>
    <row r="481">
      <c r="A481" s="2"/>
      <c r="B481" s="2"/>
      <c r="C481" s="2" t="str">
        <f t="shared" si="1"/>
        <v> </v>
      </c>
      <c r="D481" s="2" t="str">
        <f>IFERROR(__xludf.DUMMYFUNCTION("""COMPUTED_VALUE"""),"")</f>
        <v/>
      </c>
      <c r="E481" s="2" t="str">
        <f>IFERROR(__xludf.DUMMYFUNCTION("""COMPUTED_VALUE"""),"")</f>
        <v/>
      </c>
    </row>
    <row r="482">
      <c r="A482" s="2"/>
      <c r="B482" s="2"/>
      <c r="C482" s="2" t="str">
        <f t="shared" si="1"/>
        <v> </v>
      </c>
      <c r="D482" s="2" t="str">
        <f>IFERROR(__xludf.DUMMYFUNCTION("""COMPUTED_VALUE"""),"")</f>
        <v/>
      </c>
      <c r="E482" s="2" t="str">
        <f>IFERROR(__xludf.DUMMYFUNCTION("""COMPUTED_VALUE"""),"")</f>
        <v/>
      </c>
    </row>
    <row r="483">
      <c r="A483" s="2"/>
      <c r="B483" s="2"/>
      <c r="C483" s="2" t="str">
        <f t="shared" si="1"/>
        <v> </v>
      </c>
      <c r="D483" s="2" t="str">
        <f>IFERROR(__xludf.DUMMYFUNCTION("""COMPUTED_VALUE"""),"")</f>
        <v/>
      </c>
      <c r="E483" s="2" t="str">
        <f>IFERROR(__xludf.DUMMYFUNCTION("""COMPUTED_VALUE"""),"")</f>
        <v/>
      </c>
    </row>
    <row r="484">
      <c r="A484" s="2"/>
      <c r="B484" s="2"/>
      <c r="C484" s="2" t="str">
        <f t="shared" si="1"/>
        <v> </v>
      </c>
      <c r="D484" s="2" t="str">
        <f>IFERROR(__xludf.DUMMYFUNCTION("""COMPUTED_VALUE"""),"")</f>
        <v/>
      </c>
      <c r="E484" s="2" t="str">
        <f>IFERROR(__xludf.DUMMYFUNCTION("""COMPUTED_VALUE"""),"")</f>
        <v/>
      </c>
    </row>
    <row r="485">
      <c r="A485" s="2"/>
      <c r="B485" s="2"/>
      <c r="C485" s="2" t="str">
        <f t="shared" si="1"/>
        <v> </v>
      </c>
      <c r="D485" s="2" t="str">
        <f>IFERROR(__xludf.DUMMYFUNCTION("""COMPUTED_VALUE"""),"")</f>
        <v/>
      </c>
      <c r="E485" s="2" t="str">
        <f>IFERROR(__xludf.DUMMYFUNCTION("""COMPUTED_VALUE"""),"")</f>
        <v/>
      </c>
    </row>
    <row r="486">
      <c r="A486" s="2"/>
      <c r="B486" s="2"/>
      <c r="C486" s="2" t="str">
        <f t="shared" si="1"/>
        <v> </v>
      </c>
      <c r="D486" s="2" t="str">
        <f>IFERROR(__xludf.DUMMYFUNCTION("""COMPUTED_VALUE"""),"")</f>
        <v/>
      </c>
      <c r="E486" s="2" t="str">
        <f>IFERROR(__xludf.DUMMYFUNCTION("""COMPUTED_VALUE"""),"")</f>
        <v/>
      </c>
    </row>
    <row r="487">
      <c r="A487" s="2"/>
      <c r="B487" s="2"/>
      <c r="C487" s="2" t="str">
        <f t="shared" si="1"/>
        <v> </v>
      </c>
      <c r="D487" s="2" t="str">
        <f>IFERROR(__xludf.DUMMYFUNCTION("""COMPUTED_VALUE"""),"")</f>
        <v/>
      </c>
      <c r="E487" s="2" t="str">
        <f>IFERROR(__xludf.DUMMYFUNCTION("""COMPUTED_VALUE"""),"")</f>
        <v/>
      </c>
    </row>
    <row r="488">
      <c r="A488" s="2"/>
      <c r="B488" s="2"/>
      <c r="C488" s="2" t="str">
        <f t="shared" si="1"/>
        <v> </v>
      </c>
      <c r="D488" s="2" t="str">
        <f>IFERROR(__xludf.DUMMYFUNCTION("""COMPUTED_VALUE"""),"")</f>
        <v/>
      </c>
      <c r="E488" s="2" t="str">
        <f>IFERROR(__xludf.DUMMYFUNCTION("""COMPUTED_VALUE"""),"")</f>
        <v/>
      </c>
    </row>
    <row r="489">
      <c r="A489" s="2"/>
      <c r="B489" s="2"/>
      <c r="C489" s="2" t="str">
        <f t="shared" si="1"/>
        <v> </v>
      </c>
      <c r="D489" s="2" t="str">
        <f>IFERROR(__xludf.DUMMYFUNCTION("""COMPUTED_VALUE"""),"")</f>
        <v/>
      </c>
      <c r="E489" s="2" t="str">
        <f>IFERROR(__xludf.DUMMYFUNCTION("""COMPUTED_VALUE"""),"")</f>
        <v/>
      </c>
    </row>
    <row r="490">
      <c r="A490" s="2"/>
      <c r="B490" s="2"/>
      <c r="C490" s="2" t="str">
        <f t="shared" si="1"/>
        <v> </v>
      </c>
      <c r="D490" s="2" t="str">
        <f>IFERROR(__xludf.DUMMYFUNCTION("""COMPUTED_VALUE"""),"")</f>
        <v/>
      </c>
      <c r="E490" s="2" t="str">
        <f>IFERROR(__xludf.DUMMYFUNCTION("""COMPUTED_VALUE"""),"")</f>
        <v/>
      </c>
    </row>
    <row r="491">
      <c r="A491" s="2"/>
      <c r="B491" s="2"/>
      <c r="C491" s="2" t="str">
        <f t="shared" si="1"/>
        <v> </v>
      </c>
      <c r="D491" s="2" t="str">
        <f>IFERROR(__xludf.DUMMYFUNCTION("""COMPUTED_VALUE"""),"")</f>
        <v/>
      </c>
      <c r="E491" s="2" t="str">
        <f>IFERROR(__xludf.DUMMYFUNCTION("""COMPUTED_VALUE"""),"")</f>
        <v/>
      </c>
    </row>
    <row r="492">
      <c r="A492" s="2"/>
      <c r="B492" s="2"/>
      <c r="C492" s="2" t="str">
        <f t="shared" si="1"/>
        <v> </v>
      </c>
      <c r="D492" s="2" t="str">
        <f>IFERROR(__xludf.DUMMYFUNCTION("""COMPUTED_VALUE"""),"")</f>
        <v/>
      </c>
      <c r="E492" s="2" t="str">
        <f>IFERROR(__xludf.DUMMYFUNCTION("""COMPUTED_VALUE"""),"")</f>
        <v/>
      </c>
    </row>
    <row r="493">
      <c r="A493" s="2"/>
      <c r="B493" s="2"/>
      <c r="C493" s="2" t="str">
        <f t="shared" si="1"/>
        <v> </v>
      </c>
      <c r="D493" s="2" t="str">
        <f>IFERROR(__xludf.DUMMYFUNCTION("""COMPUTED_VALUE"""),"")</f>
        <v/>
      </c>
      <c r="E493" s="2" t="str">
        <f>IFERROR(__xludf.DUMMYFUNCTION("""COMPUTED_VALUE"""),"")</f>
        <v/>
      </c>
    </row>
    <row r="494">
      <c r="A494" s="2"/>
      <c r="B494" s="2"/>
      <c r="C494" s="2" t="str">
        <f t="shared" si="1"/>
        <v> </v>
      </c>
      <c r="D494" s="2" t="str">
        <f>IFERROR(__xludf.DUMMYFUNCTION("""COMPUTED_VALUE"""),"")</f>
        <v/>
      </c>
      <c r="E494" s="2" t="str">
        <f>IFERROR(__xludf.DUMMYFUNCTION("""COMPUTED_VALUE"""),"")</f>
        <v/>
      </c>
    </row>
    <row r="495">
      <c r="A495" s="2"/>
      <c r="B495" s="2"/>
      <c r="C495" s="2" t="str">
        <f t="shared" si="1"/>
        <v> </v>
      </c>
      <c r="D495" s="2" t="str">
        <f>IFERROR(__xludf.DUMMYFUNCTION("""COMPUTED_VALUE"""),"")</f>
        <v/>
      </c>
      <c r="E495" s="2" t="str">
        <f>IFERROR(__xludf.DUMMYFUNCTION("""COMPUTED_VALUE"""),"")</f>
        <v/>
      </c>
    </row>
    <row r="496">
      <c r="A496" s="2"/>
      <c r="B496" s="2"/>
      <c r="C496" s="2" t="str">
        <f t="shared" si="1"/>
        <v> </v>
      </c>
      <c r="D496" s="2" t="str">
        <f>IFERROR(__xludf.DUMMYFUNCTION("""COMPUTED_VALUE"""),"")</f>
        <v/>
      </c>
      <c r="E496" s="2" t="str">
        <f>IFERROR(__xludf.DUMMYFUNCTION("""COMPUTED_VALUE"""),"")</f>
        <v/>
      </c>
    </row>
    <row r="497">
      <c r="A497" s="2"/>
      <c r="B497" s="2"/>
      <c r="C497" s="2" t="str">
        <f t="shared" si="1"/>
        <v> </v>
      </c>
      <c r="D497" s="2" t="str">
        <f>IFERROR(__xludf.DUMMYFUNCTION("""COMPUTED_VALUE"""),"")</f>
        <v/>
      </c>
      <c r="E497" s="2" t="str">
        <f>IFERROR(__xludf.DUMMYFUNCTION("""COMPUTED_VALUE"""),"")</f>
        <v/>
      </c>
    </row>
    <row r="498">
      <c r="A498" s="2"/>
      <c r="B498" s="2"/>
      <c r="C498" s="2" t="str">
        <f t="shared" si="1"/>
        <v> </v>
      </c>
      <c r="D498" s="2" t="str">
        <f>IFERROR(__xludf.DUMMYFUNCTION("""COMPUTED_VALUE"""),"")</f>
        <v/>
      </c>
      <c r="E498" s="2" t="str">
        <f>IFERROR(__xludf.DUMMYFUNCTION("""COMPUTED_VALUE"""),"")</f>
        <v/>
      </c>
    </row>
    <row r="499">
      <c r="A499" s="2"/>
      <c r="B499" s="2"/>
      <c r="C499" s="2" t="str">
        <f t="shared" si="1"/>
        <v> </v>
      </c>
      <c r="D499" s="2" t="str">
        <f>IFERROR(__xludf.DUMMYFUNCTION("""COMPUTED_VALUE"""),"")</f>
        <v/>
      </c>
      <c r="E499" s="2" t="str">
        <f>IFERROR(__xludf.DUMMYFUNCTION("""COMPUTED_VALUE"""),"")</f>
        <v/>
      </c>
    </row>
    <row r="500">
      <c r="A500" s="2"/>
      <c r="B500" s="2"/>
      <c r="C500" s="2" t="str">
        <f t="shared" si="1"/>
        <v> </v>
      </c>
      <c r="D500" s="2" t="str">
        <f>IFERROR(__xludf.DUMMYFUNCTION("""COMPUTED_VALUE"""),"")</f>
        <v/>
      </c>
      <c r="E500" s="2" t="str">
        <f>IFERROR(__xludf.DUMMYFUNCTION("""COMPUTED_VALUE"""),"")</f>
        <v/>
      </c>
    </row>
    <row r="501">
      <c r="A501" s="2"/>
      <c r="B501" s="2"/>
      <c r="C501" s="2" t="str">
        <f t="shared" si="1"/>
        <v> </v>
      </c>
      <c r="D501" s="2" t="str">
        <f>IFERROR(__xludf.DUMMYFUNCTION("""COMPUTED_VALUE"""),"")</f>
        <v/>
      </c>
      <c r="E501" s="2" t="str">
        <f>IFERROR(__xludf.DUMMYFUNCTION("""COMPUTED_VALUE"""),"")</f>
        <v/>
      </c>
    </row>
    <row r="502">
      <c r="A502" s="2"/>
      <c r="B502" s="2"/>
      <c r="C502" s="2" t="str">
        <f t="shared" si="1"/>
        <v> </v>
      </c>
      <c r="D502" s="2" t="str">
        <f>IFERROR(__xludf.DUMMYFUNCTION("""COMPUTED_VALUE"""),"")</f>
        <v/>
      </c>
      <c r="E502" s="2" t="str">
        <f>IFERROR(__xludf.DUMMYFUNCTION("""COMPUTED_VALUE"""),"")</f>
        <v/>
      </c>
    </row>
    <row r="503">
      <c r="A503" s="2"/>
      <c r="B503" s="2"/>
      <c r="C503" s="2" t="str">
        <f t="shared" si="1"/>
        <v> </v>
      </c>
      <c r="D503" s="2" t="str">
        <f>IFERROR(__xludf.DUMMYFUNCTION("""COMPUTED_VALUE"""),"")</f>
        <v/>
      </c>
      <c r="E503" s="2" t="str">
        <f>IFERROR(__xludf.DUMMYFUNCTION("""COMPUTED_VALUE"""),"")</f>
        <v/>
      </c>
    </row>
    <row r="504">
      <c r="A504" s="2"/>
      <c r="B504" s="2"/>
      <c r="C504" s="2" t="str">
        <f t="shared" si="1"/>
        <v> </v>
      </c>
      <c r="D504" s="2" t="str">
        <f>IFERROR(__xludf.DUMMYFUNCTION("""COMPUTED_VALUE"""),"")</f>
        <v/>
      </c>
      <c r="E504" s="2" t="str">
        <f>IFERROR(__xludf.DUMMYFUNCTION("""COMPUTED_VALUE"""),"")</f>
        <v/>
      </c>
    </row>
    <row r="505">
      <c r="A505" s="2"/>
      <c r="B505" s="2"/>
      <c r="C505" s="2" t="str">
        <f t="shared" si="1"/>
        <v> </v>
      </c>
      <c r="D505" s="2" t="str">
        <f>IFERROR(__xludf.DUMMYFUNCTION("""COMPUTED_VALUE"""),"")</f>
        <v/>
      </c>
      <c r="E505" s="2" t="str">
        <f>IFERROR(__xludf.DUMMYFUNCTION("""COMPUTED_VALUE"""),"")</f>
        <v/>
      </c>
    </row>
    <row r="506">
      <c r="A506" s="2"/>
      <c r="B506" s="2"/>
      <c r="C506" s="2" t="str">
        <f t="shared" si="1"/>
        <v> </v>
      </c>
      <c r="D506" s="2" t="str">
        <f>IFERROR(__xludf.DUMMYFUNCTION("""COMPUTED_VALUE"""),"")</f>
        <v/>
      </c>
      <c r="E506" s="2" t="str">
        <f>IFERROR(__xludf.DUMMYFUNCTION("""COMPUTED_VALUE"""),"")</f>
        <v/>
      </c>
    </row>
    <row r="507">
      <c r="A507" s="2"/>
      <c r="B507" s="2"/>
      <c r="C507" s="2" t="str">
        <f t="shared" si="1"/>
        <v> </v>
      </c>
      <c r="D507" s="2" t="str">
        <f>IFERROR(__xludf.DUMMYFUNCTION("""COMPUTED_VALUE"""),"")</f>
        <v/>
      </c>
      <c r="E507" s="2" t="str">
        <f>IFERROR(__xludf.DUMMYFUNCTION("""COMPUTED_VALUE"""),"")</f>
        <v/>
      </c>
    </row>
    <row r="508">
      <c r="A508" s="2"/>
      <c r="B508" s="2"/>
      <c r="C508" s="2" t="str">
        <f t="shared" si="1"/>
        <v> </v>
      </c>
      <c r="D508" s="2" t="str">
        <f>IFERROR(__xludf.DUMMYFUNCTION("""COMPUTED_VALUE"""),"")</f>
        <v/>
      </c>
      <c r="E508" s="2" t="str">
        <f>IFERROR(__xludf.DUMMYFUNCTION("""COMPUTED_VALUE"""),"")</f>
        <v/>
      </c>
    </row>
    <row r="509">
      <c r="A509" s="2"/>
      <c r="B509" s="2"/>
      <c r="C509" s="2" t="str">
        <f t="shared" si="1"/>
        <v> </v>
      </c>
      <c r="D509" s="2" t="str">
        <f>IFERROR(__xludf.DUMMYFUNCTION("""COMPUTED_VALUE"""),"")</f>
        <v/>
      </c>
      <c r="E509" s="2" t="str">
        <f>IFERROR(__xludf.DUMMYFUNCTION("""COMPUTED_VALUE"""),"")</f>
        <v/>
      </c>
    </row>
    <row r="510">
      <c r="A510" s="2"/>
      <c r="B510" s="2"/>
      <c r="C510" s="2" t="str">
        <f t="shared" si="1"/>
        <v> </v>
      </c>
      <c r="D510" s="2" t="str">
        <f>IFERROR(__xludf.DUMMYFUNCTION("""COMPUTED_VALUE"""),"")</f>
        <v/>
      </c>
      <c r="E510" s="2" t="str">
        <f>IFERROR(__xludf.DUMMYFUNCTION("""COMPUTED_VALUE"""),"")</f>
        <v/>
      </c>
    </row>
    <row r="511">
      <c r="A511" s="2"/>
      <c r="B511" s="2"/>
      <c r="C511" s="2" t="str">
        <f t="shared" si="1"/>
        <v> </v>
      </c>
      <c r="D511" s="2" t="str">
        <f>IFERROR(__xludf.DUMMYFUNCTION("""COMPUTED_VALUE"""),"")</f>
        <v/>
      </c>
      <c r="E511" s="2" t="str">
        <f>IFERROR(__xludf.DUMMYFUNCTION("""COMPUTED_VALUE"""),"")</f>
        <v/>
      </c>
    </row>
    <row r="512">
      <c r="A512" s="2"/>
      <c r="B512" s="2"/>
      <c r="C512" s="2" t="str">
        <f t="shared" si="1"/>
        <v> </v>
      </c>
      <c r="D512" s="2" t="str">
        <f>IFERROR(__xludf.DUMMYFUNCTION("""COMPUTED_VALUE"""),"")</f>
        <v/>
      </c>
      <c r="E512" s="2" t="str">
        <f>IFERROR(__xludf.DUMMYFUNCTION("""COMPUTED_VALUE"""),"")</f>
        <v/>
      </c>
    </row>
    <row r="513">
      <c r="A513" s="2"/>
      <c r="B513" s="2"/>
      <c r="C513" s="2" t="str">
        <f t="shared" si="1"/>
        <v> </v>
      </c>
      <c r="D513" s="2" t="str">
        <f>IFERROR(__xludf.DUMMYFUNCTION("""COMPUTED_VALUE"""),"")</f>
        <v/>
      </c>
      <c r="E513" s="2" t="str">
        <f>IFERROR(__xludf.DUMMYFUNCTION("""COMPUTED_VALUE"""),"")</f>
        <v/>
      </c>
    </row>
    <row r="514">
      <c r="A514" s="2"/>
      <c r="B514" s="2"/>
      <c r="C514" s="2" t="str">
        <f t="shared" si="1"/>
        <v> </v>
      </c>
      <c r="D514" s="2" t="str">
        <f>IFERROR(__xludf.DUMMYFUNCTION("""COMPUTED_VALUE"""),"")</f>
        <v/>
      </c>
      <c r="E514" s="2" t="str">
        <f>IFERROR(__xludf.DUMMYFUNCTION("""COMPUTED_VALUE"""),"")</f>
        <v/>
      </c>
    </row>
    <row r="515">
      <c r="A515" s="2"/>
      <c r="B515" s="2"/>
      <c r="C515" s="2" t="str">
        <f t="shared" si="1"/>
        <v> </v>
      </c>
      <c r="D515" s="2" t="str">
        <f>IFERROR(__xludf.DUMMYFUNCTION("""COMPUTED_VALUE"""),"")</f>
        <v/>
      </c>
      <c r="E515" s="2" t="str">
        <f>IFERROR(__xludf.DUMMYFUNCTION("""COMPUTED_VALUE"""),"")</f>
        <v/>
      </c>
    </row>
    <row r="516">
      <c r="A516" s="2"/>
      <c r="B516" s="2"/>
      <c r="C516" s="2" t="str">
        <f t="shared" si="1"/>
        <v> </v>
      </c>
      <c r="D516" s="2" t="str">
        <f>IFERROR(__xludf.DUMMYFUNCTION("""COMPUTED_VALUE"""),"")</f>
        <v/>
      </c>
      <c r="E516" s="2" t="str">
        <f>IFERROR(__xludf.DUMMYFUNCTION("""COMPUTED_VALUE"""),"")</f>
        <v/>
      </c>
    </row>
    <row r="517">
      <c r="A517" s="2"/>
      <c r="B517" s="2"/>
      <c r="C517" s="2" t="str">
        <f t="shared" si="1"/>
        <v> </v>
      </c>
      <c r="D517" s="2" t="str">
        <f>IFERROR(__xludf.DUMMYFUNCTION("""COMPUTED_VALUE"""),"")</f>
        <v/>
      </c>
      <c r="E517" s="2" t="str">
        <f>IFERROR(__xludf.DUMMYFUNCTION("""COMPUTED_VALUE"""),"")</f>
        <v/>
      </c>
    </row>
    <row r="518">
      <c r="A518" s="2"/>
      <c r="B518" s="2"/>
      <c r="C518" s="2" t="str">
        <f t="shared" si="1"/>
        <v> </v>
      </c>
      <c r="D518" s="2" t="str">
        <f>IFERROR(__xludf.DUMMYFUNCTION("""COMPUTED_VALUE"""),"")</f>
        <v/>
      </c>
      <c r="E518" s="2" t="str">
        <f>IFERROR(__xludf.DUMMYFUNCTION("""COMPUTED_VALUE"""),"")</f>
        <v/>
      </c>
    </row>
    <row r="519">
      <c r="A519" s="2"/>
      <c r="B519" s="2"/>
      <c r="C519" s="2" t="str">
        <f t="shared" si="1"/>
        <v> </v>
      </c>
      <c r="D519" s="2" t="str">
        <f>IFERROR(__xludf.DUMMYFUNCTION("""COMPUTED_VALUE"""),"")</f>
        <v/>
      </c>
      <c r="E519" s="2" t="str">
        <f>IFERROR(__xludf.DUMMYFUNCTION("""COMPUTED_VALUE"""),"")</f>
        <v/>
      </c>
    </row>
    <row r="520">
      <c r="A520" s="2"/>
      <c r="B520" s="2"/>
      <c r="C520" s="2" t="str">
        <f t="shared" si="1"/>
        <v> </v>
      </c>
      <c r="D520" s="2" t="str">
        <f>IFERROR(__xludf.DUMMYFUNCTION("""COMPUTED_VALUE"""),"")</f>
        <v/>
      </c>
      <c r="E520" s="2" t="str">
        <f>IFERROR(__xludf.DUMMYFUNCTION("""COMPUTED_VALUE"""),"")</f>
        <v/>
      </c>
    </row>
    <row r="521">
      <c r="A521" s="2"/>
      <c r="B521" s="2"/>
      <c r="C521" s="2" t="str">
        <f t="shared" si="1"/>
        <v> </v>
      </c>
      <c r="D521" s="2" t="str">
        <f>IFERROR(__xludf.DUMMYFUNCTION("""COMPUTED_VALUE"""),"")</f>
        <v/>
      </c>
      <c r="E521" s="2" t="str">
        <f>IFERROR(__xludf.DUMMYFUNCTION("""COMPUTED_VALUE"""),"")</f>
        <v/>
      </c>
    </row>
    <row r="522">
      <c r="A522" s="2"/>
      <c r="B522" s="2"/>
      <c r="C522" s="2" t="str">
        <f t="shared" si="1"/>
        <v> </v>
      </c>
      <c r="D522" s="2" t="str">
        <f>IFERROR(__xludf.DUMMYFUNCTION("""COMPUTED_VALUE"""),"")</f>
        <v/>
      </c>
      <c r="E522" s="2" t="str">
        <f>IFERROR(__xludf.DUMMYFUNCTION("""COMPUTED_VALUE"""),"")</f>
        <v/>
      </c>
    </row>
    <row r="523">
      <c r="A523" s="2"/>
      <c r="B523" s="2"/>
      <c r="C523" s="2" t="str">
        <f t="shared" si="1"/>
        <v> </v>
      </c>
      <c r="D523" s="2" t="str">
        <f>IFERROR(__xludf.DUMMYFUNCTION("""COMPUTED_VALUE"""),"")</f>
        <v/>
      </c>
      <c r="E523" s="2" t="str">
        <f>IFERROR(__xludf.DUMMYFUNCTION("""COMPUTED_VALUE"""),"")</f>
        <v/>
      </c>
    </row>
    <row r="524">
      <c r="A524" s="2"/>
      <c r="B524" s="2"/>
      <c r="C524" s="2" t="str">
        <f t="shared" si="1"/>
        <v> </v>
      </c>
      <c r="D524" s="2" t="str">
        <f>IFERROR(__xludf.DUMMYFUNCTION("""COMPUTED_VALUE"""),"")</f>
        <v/>
      </c>
      <c r="E524" s="2" t="str">
        <f>IFERROR(__xludf.DUMMYFUNCTION("""COMPUTED_VALUE"""),"")</f>
        <v/>
      </c>
    </row>
    <row r="525">
      <c r="A525" s="2"/>
      <c r="B525" s="2"/>
      <c r="C525" s="2" t="str">
        <f t="shared" si="1"/>
        <v> </v>
      </c>
      <c r="D525" s="2" t="str">
        <f>IFERROR(__xludf.DUMMYFUNCTION("""COMPUTED_VALUE"""),"")</f>
        <v/>
      </c>
      <c r="E525" s="2" t="str">
        <f>IFERROR(__xludf.DUMMYFUNCTION("""COMPUTED_VALUE"""),"")</f>
        <v/>
      </c>
    </row>
    <row r="526">
      <c r="A526" s="2"/>
      <c r="B526" s="2"/>
      <c r="C526" s="2" t="str">
        <f t="shared" si="1"/>
        <v> </v>
      </c>
      <c r="D526" s="2" t="str">
        <f>IFERROR(__xludf.DUMMYFUNCTION("""COMPUTED_VALUE"""),"")</f>
        <v/>
      </c>
      <c r="E526" s="2" t="str">
        <f>IFERROR(__xludf.DUMMYFUNCTION("""COMPUTED_VALUE"""),"")</f>
        <v/>
      </c>
    </row>
    <row r="527">
      <c r="A527" s="2"/>
      <c r="B527" s="2"/>
      <c r="C527" s="2" t="str">
        <f t="shared" si="1"/>
        <v> </v>
      </c>
      <c r="D527" s="2" t="str">
        <f>IFERROR(__xludf.DUMMYFUNCTION("""COMPUTED_VALUE"""),"")</f>
        <v/>
      </c>
      <c r="E527" s="2" t="str">
        <f>IFERROR(__xludf.DUMMYFUNCTION("""COMPUTED_VALUE"""),"")</f>
        <v/>
      </c>
    </row>
    <row r="528">
      <c r="A528" s="2"/>
      <c r="B528" s="2"/>
      <c r="C528" s="2" t="str">
        <f t="shared" si="1"/>
        <v> </v>
      </c>
      <c r="D528" s="2" t="str">
        <f>IFERROR(__xludf.DUMMYFUNCTION("""COMPUTED_VALUE"""),"")</f>
        <v/>
      </c>
      <c r="E528" s="2" t="str">
        <f>IFERROR(__xludf.DUMMYFUNCTION("""COMPUTED_VALUE"""),"")</f>
        <v/>
      </c>
    </row>
    <row r="529">
      <c r="A529" s="2"/>
      <c r="B529" s="2"/>
      <c r="C529" s="2" t="str">
        <f t="shared" si="1"/>
        <v> </v>
      </c>
      <c r="D529" s="2" t="str">
        <f>IFERROR(__xludf.DUMMYFUNCTION("""COMPUTED_VALUE"""),"")</f>
        <v/>
      </c>
      <c r="E529" s="2" t="str">
        <f>IFERROR(__xludf.DUMMYFUNCTION("""COMPUTED_VALUE"""),"")</f>
        <v/>
      </c>
    </row>
    <row r="530">
      <c r="A530" s="2"/>
      <c r="B530" s="2"/>
      <c r="C530" s="2" t="str">
        <f t="shared" si="1"/>
        <v> </v>
      </c>
      <c r="D530" s="2" t="str">
        <f>IFERROR(__xludf.DUMMYFUNCTION("""COMPUTED_VALUE"""),"")</f>
        <v/>
      </c>
      <c r="E530" s="2" t="str">
        <f>IFERROR(__xludf.DUMMYFUNCTION("""COMPUTED_VALUE"""),"")</f>
        <v/>
      </c>
    </row>
    <row r="531">
      <c r="A531" s="2"/>
      <c r="B531" s="2"/>
      <c r="C531" s="2" t="str">
        <f t="shared" si="1"/>
        <v> </v>
      </c>
      <c r="D531" s="2" t="str">
        <f>IFERROR(__xludf.DUMMYFUNCTION("""COMPUTED_VALUE"""),"")</f>
        <v/>
      </c>
      <c r="E531" s="2" t="str">
        <f>IFERROR(__xludf.DUMMYFUNCTION("""COMPUTED_VALUE"""),"")</f>
        <v/>
      </c>
    </row>
    <row r="532">
      <c r="A532" s="2"/>
      <c r="B532" s="2"/>
      <c r="C532" s="2" t="str">
        <f t="shared" si="1"/>
        <v> </v>
      </c>
      <c r="D532" s="2" t="str">
        <f>IFERROR(__xludf.DUMMYFUNCTION("""COMPUTED_VALUE"""),"")</f>
        <v/>
      </c>
      <c r="E532" s="2" t="str">
        <f>IFERROR(__xludf.DUMMYFUNCTION("""COMPUTED_VALUE"""),"")</f>
        <v/>
      </c>
    </row>
    <row r="533">
      <c r="A533" s="2"/>
      <c r="B533" s="2"/>
      <c r="C533" s="2" t="str">
        <f t="shared" si="1"/>
        <v> </v>
      </c>
      <c r="D533" s="2" t="str">
        <f>IFERROR(__xludf.DUMMYFUNCTION("""COMPUTED_VALUE"""),"")</f>
        <v/>
      </c>
      <c r="E533" s="2" t="str">
        <f>IFERROR(__xludf.DUMMYFUNCTION("""COMPUTED_VALUE"""),"")</f>
        <v/>
      </c>
    </row>
    <row r="534">
      <c r="A534" s="2"/>
      <c r="B534" s="2"/>
      <c r="C534" s="2" t="str">
        <f t="shared" si="1"/>
        <v> </v>
      </c>
      <c r="D534" s="2" t="str">
        <f>IFERROR(__xludf.DUMMYFUNCTION("""COMPUTED_VALUE"""),"")</f>
        <v/>
      </c>
      <c r="E534" s="2" t="str">
        <f>IFERROR(__xludf.DUMMYFUNCTION("""COMPUTED_VALUE"""),"")</f>
        <v/>
      </c>
    </row>
    <row r="535">
      <c r="A535" s="2"/>
      <c r="B535" s="2"/>
      <c r="C535" s="2" t="str">
        <f t="shared" si="1"/>
        <v> </v>
      </c>
      <c r="D535" s="2" t="str">
        <f>IFERROR(__xludf.DUMMYFUNCTION("""COMPUTED_VALUE"""),"")</f>
        <v/>
      </c>
      <c r="E535" s="2" t="str">
        <f>IFERROR(__xludf.DUMMYFUNCTION("""COMPUTED_VALUE"""),"")</f>
        <v/>
      </c>
    </row>
    <row r="536">
      <c r="A536" s="2"/>
      <c r="B536" s="2"/>
      <c r="C536" s="2" t="str">
        <f t="shared" si="1"/>
        <v> </v>
      </c>
      <c r="D536" s="2" t="str">
        <f>IFERROR(__xludf.DUMMYFUNCTION("""COMPUTED_VALUE"""),"")</f>
        <v/>
      </c>
      <c r="E536" s="2" t="str">
        <f>IFERROR(__xludf.DUMMYFUNCTION("""COMPUTED_VALUE"""),"")</f>
        <v/>
      </c>
    </row>
    <row r="537">
      <c r="A537" s="2"/>
      <c r="B537" s="2"/>
      <c r="C537" s="2" t="str">
        <f t="shared" si="1"/>
        <v> </v>
      </c>
      <c r="D537" s="2" t="str">
        <f>IFERROR(__xludf.DUMMYFUNCTION("""COMPUTED_VALUE"""),"")</f>
        <v/>
      </c>
      <c r="E537" s="2" t="str">
        <f>IFERROR(__xludf.DUMMYFUNCTION("""COMPUTED_VALUE"""),"")</f>
        <v/>
      </c>
    </row>
    <row r="538">
      <c r="A538" s="2"/>
      <c r="B538" s="2"/>
      <c r="C538" s="2" t="str">
        <f t="shared" si="1"/>
        <v> </v>
      </c>
      <c r="D538" s="2" t="str">
        <f>IFERROR(__xludf.DUMMYFUNCTION("""COMPUTED_VALUE"""),"")</f>
        <v/>
      </c>
      <c r="E538" s="2" t="str">
        <f>IFERROR(__xludf.DUMMYFUNCTION("""COMPUTED_VALUE"""),"")</f>
        <v/>
      </c>
    </row>
    <row r="539">
      <c r="A539" s="2"/>
      <c r="B539" s="2"/>
      <c r="C539" s="2" t="str">
        <f t="shared" si="1"/>
        <v> </v>
      </c>
      <c r="D539" s="2" t="str">
        <f>IFERROR(__xludf.DUMMYFUNCTION("""COMPUTED_VALUE"""),"")</f>
        <v/>
      </c>
      <c r="E539" s="2" t="str">
        <f>IFERROR(__xludf.DUMMYFUNCTION("""COMPUTED_VALUE"""),"")</f>
        <v/>
      </c>
    </row>
    <row r="540">
      <c r="A540" s="2"/>
      <c r="B540" s="2"/>
      <c r="C540" s="2" t="str">
        <f t="shared" si="1"/>
        <v> </v>
      </c>
      <c r="D540" s="2" t="str">
        <f>IFERROR(__xludf.DUMMYFUNCTION("""COMPUTED_VALUE"""),"")</f>
        <v/>
      </c>
      <c r="E540" s="2" t="str">
        <f>IFERROR(__xludf.DUMMYFUNCTION("""COMPUTED_VALUE"""),"")</f>
        <v/>
      </c>
    </row>
    <row r="541">
      <c r="A541" s="2"/>
      <c r="B541" s="2"/>
      <c r="C541" s="2" t="str">
        <f t="shared" si="1"/>
        <v> </v>
      </c>
      <c r="D541" s="2" t="str">
        <f>IFERROR(__xludf.DUMMYFUNCTION("""COMPUTED_VALUE"""),"")</f>
        <v/>
      </c>
      <c r="E541" s="2" t="str">
        <f>IFERROR(__xludf.DUMMYFUNCTION("""COMPUTED_VALUE"""),"")</f>
        <v/>
      </c>
    </row>
    <row r="542">
      <c r="A542" s="2"/>
      <c r="B542" s="2"/>
      <c r="C542" s="2" t="str">
        <f t="shared" si="1"/>
        <v> </v>
      </c>
      <c r="D542" s="2" t="str">
        <f>IFERROR(__xludf.DUMMYFUNCTION("""COMPUTED_VALUE"""),"")</f>
        <v/>
      </c>
      <c r="E542" s="2" t="str">
        <f>IFERROR(__xludf.DUMMYFUNCTION("""COMPUTED_VALUE"""),"")</f>
        <v/>
      </c>
    </row>
    <row r="543">
      <c r="A543" s="2"/>
      <c r="B543" s="2"/>
      <c r="C543" s="2" t="str">
        <f t="shared" si="1"/>
        <v> </v>
      </c>
      <c r="D543" s="2" t="str">
        <f>IFERROR(__xludf.DUMMYFUNCTION("""COMPUTED_VALUE"""),"")</f>
        <v/>
      </c>
      <c r="E543" s="2" t="str">
        <f>IFERROR(__xludf.DUMMYFUNCTION("""COMPUTED_VALUE"""),"")</f>
        <v/>
      </c>
    </row>
    <row r="544">
      <c r="A544" s="2"/>
      <c r="B544" s="2"/>
      <c r="C544" s="2" t="str">
        <f t="shared" si="1"/>
        <v> </v>
      </c>
      <c r="D544" s="2" t="str">
        <f>IFERROR(__xludf.DUMMYFUNCTION("""COMPUTED_VALUE"""),"")</f>
        <v/>
      </c>
      <c r="E544" s="2" t="str">
        <f>IFERROR(__xludf.DUMMYFUNCTION("""COMPUTED_VALUE"""),"")</f>
        <v/>
      </c>
    </row>
    <row r="545">
      <c r="A545" s="2"/>
      <c r="B545" s="2"/>
      <c r="C545" s="2" t="str">
        <f t="shared" si="1"/>
        <v> </v>
      </c>
      <c r="D545" s="2" t="str">
        <f>IFERROR(__xludf.DUMMYFUNCTION("""COMPUTED_VALUE"""),"")</f>
        <v/>
      </c>
      <c r="E545" s="2" t="str">
        <f>IFERROR(__xludf.DUMMYFUNCTION("""COMPUTED_VALUE"""),"")</f>
        <v/>
      </c>
    </row>
    <row r="546">
      <c r="A546" s="2"/>
      <c r="B546" s="2"/>
      <c r="C546" s="2" t="str">
        <f t="shared" si="1"/>
        <v> </v>
      </c>
      <c r="D546" s="2" t="str">
        <f>IFERROR(__xludf.DUMMYFUNCTION("""COMPUTED_VALUE"""),"")</f>
        <v/>
      </c>
      <c r="E546" s="2" t="str">
        <f>IFERROR(__xludf.DUMMYFUNCTION("""COMPUTED_VALUE"""),"")</f>
        <v/>
      </c>
    </row>
    <row r="547">
      <c r="A547" s="2"/>
      <c r="B547" s="2"/>
      <c r="C547" s="2" t="str">
        <f t="shared" si="1"/>
        <v> </v>
      </c>
      <c r="D547" s="2" t="str">
        <f>IFERROR(__xludf.DUMMYFUNCTION("""COMPUTED_VALUE"""),"")</f>
        <v/>
      </c>
      <c r="E547" s="2" t="str">
        <f>IFERROR(__xludf.DUMMYFUNCTION("""COMPUTED_VALUE"""),"")</f>
        <v/>
      </c>
    </row>
    <row r="548">
      <c r="A548" s="2"/>
      <c r="B548" s="2"/>
      <c r="C548" s="2" t="str">
        <f t="shared" si="1"/>
        <v> </v>
      </c>
      <c r="D548" s="2" t="str">
        <f>IFERROR(__xludf.DUMMYFUNCTION("""COMPUTED_VALUE"""),"")</f>
        <v/>
      </c>
      <c r="E548" s="2" t="str">
        <f>IFERROR(__xludf.DUMMYFUNCTION("""COMPUTED_VALUE"""),"")</f>
        <v/>
      </c>
    </row>
    <row r="549">
      <c r="A549" s="2"/>
      <c r="B549" s="2"/>
      <c r="C549" s="2" t="str">
        <f t="shared" si="1"/>
        <v> </v>
      </c>
      <c r="D549" s="2" t="str">
        <f>IFERROR(__xludf.DUMMYFUNCTION("""COMPUTED_VALUE"""),"")</f>
        <v/>
      </c>
      <c r="E549" s="2" t="str">
        <f>IFERROR(__xludf.DUMMYFUNCTION("""COMPUTED_VALUE"""),"")</f>
        <v/>
      </c>
    </row>
    <row r="550">
      <c r="A550" s="2"/>
      <c r="B550" s="2"/>
      <c r="C550" s="2" t="str">
        <f t="shared" si="1"/>
        <v> </v>
      </c>
      <c r="D550" s="2" t="str">
        <f>IFERROR(__xludf.DUMMYFUNCTION("""COMPUTED_VALUE"""),"")</f>
        <v/>
      </c>
      <c r="E550" s="2" t="str">
        <f>IFERROR(__xludf.DUMMYFUNCTION("""COMPUTED_VALUE"""),"")</f>
        <v/>
      </c>
    </row>
    <row r="551">
      <c r="A551" s="2"/>
      <c r="B551" s="2"/>
      <c r="C551" s="2" t="str">
        <f t="shared" si="1"/>
        <v> </v>
      </c>
      <c r="D551" s="2" t="str">
        <f>IFERROR(__xludf.DUMMYFUNCTION("""COMPUTED_VALUE"""),"")</f>
        <v/>
      </c>
      <c r="E551" s="2" t="str">
        <f>IFERROR(__xludf.DUMMYFUNCTION("""COMPUTED_VALUE"""),"")</f>
        <v/>
      </c>
    </row>
    <row r="552">
      <c r="A552" s="2"/>
      <c r="B552" s="2"/>
      <c r="C552" s="2" t="str">
        <f t="shared" si="1"/>
        <v> </v>
      </c>
      <c r="D552" s="2" t="str">
        <f>IFERROR(__xludf.DUMMYFUNCTION("""COMPUTED_VALUE"""),"")</f>
        <v/>
      </c>
      <c r="E552" s="2" t="str">
        <f>IFERROR(__xludf.DUMMYFUNCTION("""COMPUTED_VALUE"""),"")</f>
        <v/>
      </c>
    </row>
    <row r="553">
      <c r="A553" s="2"/>
      <c r="B553" s="2"/>
      <c r="C553" s="2" t="str">
        <f t="shared" si="1"/>
        <v> </v>
      </c>
      <c r="D553" s="2" t="str">
        <f>IFERROR(__xludf.DUMMYFUNCTION("""COMPUTED_VALUE"""),"")</f>
        <v/>
      </c>
      <c r="E553" s="2" t="str">
        <f>IFERROR(__xludf.DUMMYFUNCTION("""COMPUTED_VALUE"""),"")</f>
        <v/>
      </c>
    </row>
    <row r="554">
      <c r="A554" s="2"/>
      <c r="B554" s="2"/>
      <c r="C554" s="2" t="str">
        <f t="shared" si="1"/>
        <v> </v>
      </c>
      <c r="D554" s="2" t="str">
        <f>IFERROR(__xludf.DUMMYFUNCTION("""COMPUTED_VALUE"""),"")</f>
        <v/>
      </c>
      <c r="E554" s="2" t="str">
        <f>IFERROR(__xludf.DUMMYFUNCTION("""COMPUTED_VALUE"""),"")</f>
        <v/>
      </c>
    </row>
    <row r="555">
      <c r="A555" s="2"/>
      <c r="B555" s="2"/>
      <c r="C555" s="2" t="str">
        <f t="shared" si="1"/>
        <v> </v>
      </c>
      <c r="D555" s="2" t="str">
        <f>IFERROR(__xludf.DUMMYFUNCTION("""COMPUTED_VALUE"""),"")</f>
        <v/>
      </c>
      <c r="E555" s="2" t="str">
        <f>IFERROR(__xludf.DUMMYFUNCTION("""COMPUTED_VALUE"""),"")</f>
        <v/>
      </c>
    </row>
    <row r="556">
      <c r="A556" s="2"/>
      <c r="B556" s="2"/>
      <c r="C556" s="2" t="str">
        <f t="shared" si="1"/>
        <v> </v>
      </c>
      <c r="D556" s="2" t="str">
        <f>IFERROR(__xludf.DUMMYFUNCTION("""COMPUTED_VALUE"""),"")</f>
        <v/>
      </c>
      <c r="E556" s="2" t="str">
        <f>IFERROR(__xludf.DUMMYFUNCTION("""COMPUTED_VALUE"""),"")</f>
        <v/>
      </c>
    </row>
    <row r="557">
      <c r="A557" s="2"/>
      <c r="B557" s="2"/>
      <c r="C557" s="2" t="str">
        <f t="shared" si="1"/>
        <v> </v>
      </c>
      <c r="D557" s="2" t="str">
        <f>IFERROR(__xludf.DUMMYFUNCTION("""COMPUTED_VALUE"""),"")</f>
        <v/>
      </c>
      <c r="E557" s="2" t="str">
        <f>IFERROR(__xludf.DUMMYFUNCTION("""COMPUTED_VALUE"""),"")</f>
        <v/>
      </c>
    </row>
    <row r="558">
      <c r="A558" s="2"/>
      <c r="B558" s="2"/>
      <c r="C558" s="2" t="str">
        <f t="shared" si="1"/>
        <v> </v>
      </c>
      <c r="D558" s="2" t="str">
        <f>IFERROR(__xludf.DUMMYFUNCTION("""COMPUTED_VALUE"""),"")</f>
        <v/>
      </c>
      <c r="E558" s="2" t="str">
        <f>IFERROR(__xludf.DUMMYFUNCTION("""COMPUTED_VALUE"""),"")</f>
        <v/>
      </c>
    </row>
    <row r="559">
      <c r="A559" s="2"/>
      <c r="B559" s="2"/>
      <c r="C559" s="2" t="str">
        <f t="shared" si="1"/>
        <v> </v>
      </c>
      <c r="D559" s="2" t="str">
        <f>IFERROR(__xludf.DUMMYFUNCTION("""COMPUTED_VALUE"""),"")</f>
        <v/>
      </c>
      <c r="E559" s="2" t="str">
        <f>IFERROR(__xludf.DUMMYFUNCTION("""COMPUTED_VALUE"""),"")</f>
        <v/>
      </c>
    </row>
    <row r="560">
      <c r="A560" s="2"/>
      <c r="B560" s="2"/>
      <c r="C560" s="2" t="str">
        <f t="shared" si="1"/>
        <v> </v>
      </c>
      <c r="D560" s="2" t="str">
        <f>IFERROR(__xludf.DUMMYFUNCTION("""COMPUTED_VALUE"""),"")</f>
        <v/>
      </c>
      <c r="E560" s="2" t="str">
        <f>IFERROR(__xludf.DUMMYFUNCTION("""COMPUTED_VALUE"""),"")</f>
        <v/>
      </c>
    </row>
    <row r="561">
      <c r="A561" s="2"/>
      <c r="B561" s="2"/>
      <c r="C561" s="2" t="str">
        <f t="shared" si="1"/>
        <v> </v>
      </c>
      <c r="D561" s="2" t="str">
        <f>IFERROR(__xludf.DUMMYFUNCTION("""COMPUTED_VALUE"""),"")</f>
        <v/>
      </c>
      <c r="E561" s="2" t="str">
        <f>IFERROR(__xludf.DUMMYFUNCTION("""COMPUTED_VALUE"""),"")</f>
        <v/>
      </c>
    </row>
    <row r="562">
      <c r="A562" s="2"/>
      <c r="B562" s="2"/>
      <c r="C562" s="2" t="str">
        <f t="shared" si="1"/>
        <v> </v>
      </c>
      <c r="D562" s="2" t="str">
        <f>IFERROR(__xludf.DUMMYFUNCTION("""COMPUTED_VALUE"""),"")</f>
        <v/>
      </c>
      <c r="E562" s="2" t="str">
        <f>IFERROR(__xludf.DUMMYFUNCTION("""COMPUTED_VALUE"""),"")</f>
        <v/>
      </c>
    </row>
    <row r="563">
      <c r="A563" s="2"/>
      <c r="B563" s="2"/>
      <c r="C563" s="2" t="str">
        <f t="shared" si="1"/>
        <v> </v>
      </c>
      <c r="D563" s="2" t="str">
        <f>IFERROR(__xludf.DUMMYFUNCTION("""COMPUTED_VALUE"""),"")</f>
        <v/>
      </c>
      <c r="E563" s="2" t="str">
        <f>IFERROR(__xludf.DUMMYFUNCTION("""COMPUTED_VALUE"""),"")</f>
        <v/>
      </c>
    </row>
    <row r="564">
      <c r="A564" s="2"/>
      <c r="B564" s="2"/>
      <c r="C564" s="2" t="str">
        <f t="shared" si="1"/>
        <v> </v>
      </c>
      <c r="D564" s="2" t="str">
        <f>IFERROR(__xludf.DUMMYFUNCTION("""COMPUTED_VALUE"""),"")</f>
        <v/>
      </c>
      <c r="E564" s="2" t="str">
        <f>IFERROR(__xludf.DUMMYFUNCTION("""COMPUTED_VALUE"""),"")</f>
        <v/>
      </c>
    </row>
    <row r="565">
      <c r="A565" s="2"/>
      <c r="B565" s="2"/>
      <c r="C565" s="2" t="str">
        <f t="shared" si="1"/>
        <v> </v>
      </c>
      <c r="D565" s="2" t="str">
        <f>IFERROR(__xludf.DUMMYFUNCTION("""COMPUTED_VALUE"""),"")</f>
        <v/>
      </c>
      <c r="E565" s="2" t="str">
        <f>IFERROR(__xludf.DUMMYFUNCTION("""COMPUTED_VALUE"""),"")</f>
        <v/>
      </c>
    </row>
    <row r="566">
      <c r="A566" s="2"/>
      <c r="B566" s="2"/>
      <c r="C566" s="2" t="str">
        <f t="shared" si="1"/>
        <v> </v>
      </c>
      <c r="D566" s="2" t="str">
        <f>IFERROR(__xludf.DUMMYFUNCTION("""COMPUTED_VALUE"""),"")</f>
        <v/>
      </c>
      <c r="E566" s="2" t="str">
        <f>IFERROR(__xludf.DUMMYFUNCTION("""COMPUTED_VALUE"""),"")</f>
        <v/>
      </c>
    </row>
    <row r="567">
      <c r="A567" s="2"/>
      <c r="B567" s="2"/>
      <c r="C567" s="2" t="str">
        <f t="shared" si="1"/>
        <v> </v>
      </c>
      <c r="D567" s="2" t="str">
        <f>IFERROR(__xludf.DUMMYFUNCTION("""COMPUTED_VALUE"""),"")</f>
        <v/>
      </c>
      <c r="E567" s="2" t="str">
        <f>IFERROR(__xludf.DUMMYFUNCTION("""COMPUTED_VALUE"""),"")</f>
        <v/>
      </c>
    </row>
    <row r="568">
      <c r="A568" s="2"/>
      <c r="B568" s="2"/>
      <c r="C568" s="2" t="str">
        <f t="shared" si="1"/>
        <v> </v>
      </c>
      <c r="D568" s="2" t="str">
        <f>IFERROR(__xludf.DUMMYFUNCTION("""COMPUTED_VALUE"""),"")</f>
        <v/>
      </c>
      <c r="E568" s="2" t="str">
        <f>IFERROR(__xludf.DUMMYFUNCTION("""COMPUTED_VALUE"""),"")</f>
        <v/>
      </c>
    </row>
    <row r="569">
      <c r="A569" s="2"/>
      <c r="B569" s="2"/>
      <c r="C569" s="2" t="str">
        <f t="shared" si="1"/>
        <v> </v>
      </c>
      <c r="D569" s="2" t="str">
        <f>IFERROR(__xludf.DUMMYFUNCTION("""COMPUTED_VALUE"""),"")</f>
        <v/>
      </c>
      <c r="E569" s="2" t="str">
        <f>IFERROR(__xludf.DUMMYFUNCTION("""COMPUTED_VALUE"""),"")</f>
        <v/>
      </c>
    </row>
    <row r="570">
      <c r="A570" s="2"/>
      <c r="B570" s="2"/>
      <c r="C570" s="2" t="str">
        <f t="shared" si="1"/>
        <v> </v>
      </c>
      <c r="D570" s="2" t="str">
        <f>IFERROR(__xludf.DUMMYFUNCTION("""COMPUTED_VALUE"""),"")</f>
        <v/>
      </c>
      <c r="E570" s="2" t="str">
        <f>IFERROR(__xludf.DUMMYFUNCTION("""COMPUTED_VALUE"""),"")</f>
        <v/>
      </c>
    </row>
    <row r="571">
      <c r="A571" s="2"/>
      <c r="B571" s="2"/>
      <c r="C571" s="2" t="str">
        <f t="shared" si="1"/>
        <v> </v>
      </c>
      <c r="D571" s="2" t="str">
        <f>IFERROR(__xludf.DUMMYFUNCTION("""COMPUTED_VALUE"""),"")</f>
        <v/>
      </c>
      <c r="E571" s="2" t="str">
        <f>IFERROR(__xludf.DUMMYFUNCTION("""COMPUTED_VALUE"""),"")</f>
        <v/>
      </c>
    </row>
    <row r="572">
      <c r="A572" s="2"/>
      <c r="B572" s="2"/>
      <c r="C572" s="2" t="str">
        <f t="shared" si="1"/>
        <v> </v>
      </c>
      <c r="D572" s="2" t="str">
        <f>IFERROR(__xludf.DUMMYFUNCTION("""COMPUTED_VALUE"""),"")</f>
        <v/>
      </c>
      <c r="E572" s="2" t="str">
        <f>IFERROR(__xludf.DUMMYFUNCTION("""COMPUTED_VALUE"""),"")</f>
        <v/>
      </c>
    </row>
    <row r="573">
      <c r="A573" s="2"/>
      <c r="B573" s="2"/>
      <c r="C573" s="2" t="str">
        <f t="shared" si="1"/>
        <v> </v>
      </c>
      <c r="D573" s="2" t="str">
        <f>IFERROR(__xludf.DUMMYFUNCTION("""COMPUTED_VALUE"""),"")</f>
        <v/>
      </c>
      <c r="E573" s="2" t="str">
        <f>IFERROR(__xludf.DUMMYFUNCTION("""COMPUTED_VALUE"""),"")</f>
        <v/>
      </c>
    </row>
    <row r="574">
      <c r="A574" s="2"/>
      <c r="B574" s="2"/>
      <c r="C574" s="2" t="str">
        <f t="shared" si="1"/>
        <v> </v>
      </c>
      <c r="D574" s="2" t="str">
        <f>IFERROR(__xludf.DUMMYFUNCTION("""COMPUTED_VALUE"""),"")</f>
        <v/>
      </c>
      <c r="E574" s="2" t="str">
        <f>IFERROR(__xludf.DUMMYFUNCTION("""COMPUTED_VALUE"""),"")</f>
        <v/>
      </c>
    </row>
    <row r="575">
      <c r="A575" s="2"/>
      <c r="B575" s="2"/>
      <c r="C575" s="2" t="str">
        <f t="shared" si="1"/>
        <v> </v>
      </c>
      <c r="D575" s="2" t="str">
        <f>IFERROR(__xludf.DUMMYFUNCTION("""COMPUTED_VALUE"""),"")</f>
        <v/>
      </c>
      <c r="E575" s="2" t="str">
        <f>IFERROR(__xludf.DUMMYFUNCTION("""COMPUTED_VALUE"""),"")</f>
        <v/>
      </c>
    </row>
    <row r="576">
      <c r="A576" s="2"/>
      <c r="B576" s="2"/>
      <c r="C576" s="2" t="str">
        <f t="shared" si="1"/>
        <v> </v>
      </c>
      <c r="D576" s="2" t="str">
        <f>IFERROR(__xludf.DUMMYFUNCTION("""COMPUTED_VALUE"""),"")</f>
        <v/>
      </c>
      <c r="E576" s="2" t="str">
        <f>IFERROR(__xludf.DUMMYFUNCTION("""COMPUTED_VALUE"""),"")</f>
        <v/>
      </c>
    </row>
    <row r="577">
      <c r="A577" s="2"/>
      <c r="B577" s="2"/>
      <c r="C577" s="2" t="str">
        <f t="shared" si="1"/>
        <v> </v>
      </c>
      <c r="D577" s="2" t="str">
        <f>IFERROR(__xludf.DUMMYFUNCTION("""COMPUTED_VALUE"""),"")</f>
        <v/>
      </c>
      <c r="E577" s="2" t="str">
        <f>IFERROR(__xludf.DUMMYFUNCTION("""COMPUTED_VALUE"""),"")</f>
        <v/>
      </c>
    </row>
    <row r="578">
      <c r="A578" s="2"/>
      <c r="B578" s="2"/>
      <c r="C578" s="2" t="str">
        <f t="shared" si="1"/>
        <v> </v>
      </c>
      <c r="D578" s="2" t="str">
        <f>IFERROR(__xludf.DUMMYFUNCTION("""COMPUTED_VALUE"""),"")</f>
        <v/>
      </c>
      <c r="E578" s="2" t="str">
        <f>IFERROR(__xludf.DUMMYFUNCTION("""COMPUTED_VALUE"""),"")</f>
        <v/>
      </c>
    </row>
    <row r="579">
      <c r="A579" s="2"/>
      <c r="B579" s="2"/>
      <c r="C579" s="2" t="str">
        <f t="shared" si="1"/>
        <v> </v>
      </c>
      <c r="D579" s="2" t="str">
        <f>IFERROR(__xludf.DUMMYFUNCTION("""COMPUTED_VALUE"""),"")</f>
        <v/>
      </c>
      <c r="E579" s="2" t="str">
        <f>IFERROR(__xludf.DUMMYFUNCTION("""COMPUTED_VALUE"""),"")</f>
        <v/>
      </c>
    </row>
    <row r="580">
      <c r="A580" s="2"/>
      <c r="B580" s="2"/>
      <c r="C580" s="2" t="str">
        <f t="shared" si="1"/>
        <v> </v>
      </c>
      <c r="D580" s="2" t="str">
        <f>IFERROR(__xludf.DUMMYFUNCTION("""COMPUTED_VALUE"""),"")</f>
        <v/>
      </c>
      <c r="E580" s="2" t="str">
        <f>IFERROR(__xludf.DUMMYFUNCTION("""COMPUTED_VALUE"""),"")</f>
        <v/>
      </c>
    </row>
    <row r="581">
      <c r="A581" s="2"/>
      <c r="B581" s="2"/>
      <c r="C581" s="2" t="str">
        <f t="shared" si="1"/>
        <v> </v>
      </c>
      <c r="D581" s="2" t="str">
        <f>IFERROR(__xludf.DUMMYFUNCTION("""COMPUTED_VALUE"""),"")</f>
        <v/>
      </c>
      <c r="E581" s="2" t="str">
        <f>IFERROR(__xludf.DUMMYFUNCTION("""COMPUTED_VALUE"""),"")</f>
        <v/>
      </c>
    </row>
    <row r="582">
      <c r="A582" s="2"/>
      <c r="B582" s="2"/>
      <c r="C582" s="2" t="str">
        <f t="shared" si="1"/>
        <v> </v>
      </c>
      <c r="D582" s="2" t="str">
        <f>IFERROR(__xludf.DUMMYFUNCTION("""COMPUTED_VALUE"""),"")</f>
        <v/>
      </c>
      <c r="E582" s="2" t="str">
        <f>IFERROR(__xludf.DUMMYFUNCTION("""COMPUTED_VALUE"""),"")</f>
        <v/>
      </c>
    </row>
    <row r="583">
      <c r="A583" s="2"/>
      <c r="B583" s="2"/>
      <c r="C583" s="2" t="str">
        <f t="shared" si="1"/>
        <v> </v>
      </c>
      <c r="D583" s="2" t="str">
        <f>IFERROR(__xludf.DUMMYFUNCTION("""COMPUTED_VALUE"""),"")</f>
        <v/>
      </c>
      <c r="E583" s="2" t="str">
        <f>IFERROR(__xludf.DUMMYFUNCTION("""COMPUTED_VALUE"""),"")</f>
        <v/>
      </c>
    </row>
    <row r="584">
      <c r="A584" s="2"/>
      <c r="B584" s="2"/>
      <c r="C584" s="2" t="str">
        <f t="shared" si="1"/>
        <v> </v>
      </c>
      <c r="D584" s="2" t="str">
        <f>IFERROR(__xludf.DUMMYFUNCTION("""COMPUTED_VALUE"""),"")</f>
        <v/>
      </c>
      <c r="E584" s="2" t="str">
        <f>IFERROR(__xludf.DUMMYFUNCTION("""COMPUTED_VALUE"""),"")</f>
        <v/>
      </c>
    </row>
    <row r="585">
      <c r="A585" s="2"/>
      <c r="B585" s="2"/>
      <c r="C585" s="2" t="str">
        <f t="shared" si="1"/>
        <v> </v>
      </c>
      <c r="D585" s="2" t="str">
        <f>IFERROR(__xludf.DUMMYFUNCTION("""COMPUTED_VALUE"""),"")</f>
        <v/>
      </c>
      <c r="E585" s="2" t="str">
        <f>IFERROR(__xludf.DUMMYFUNCTION("""COMPUTED_VALUE"""),"")</f>
        <v/>
      </c>
    </row>
    <row r="586">
      <c r="A586" s="2"/>
      <c r="B586" s="2"/>
      <c r="C586" s="2" t="str">
        <f t="shared" si="1"/>
        <v> </v>
      </c>
      <c r="D586" s="2" t="str">
        <f>IFERROR(__xludf.DUMMYFUNCTION("""COMPUTED_VALUE"""),"")</f>
        <v/>
      </c>
      <c r="E586" s="2" t="str">
        <f>IFERROR(__xludf.DUMMYFUNCTION("""COMPUTED_VALUE"""),"")</f>
        <v/>
      </c>
    </row>
    <row r="587">
      <c r="A587" s="2"/>
      <c r="B587" s="2"/>
      <c r="C587" s="2" t="str">
        <f t="shared" si="1"/>
        <v> </v>
      </c>
      <c r="D587" s="2" t="str">
        <f>IFERROR(__xludf.DUMMYFUNCTION("""COMPUTED_VALUE"""),"")</f>
        <v/>
      </c>
      <c r="E587" s="2" t="str">
        <f>IFERROR(__xludf.DUMMYFUNCTION("""COMPUTED_VALUE"""),"")</f>
        <v/>
      </c>
    </row>
    <row r="588">
      <c r="A588" s="2"/>
      <c r="B588" s="2"/>
      <c r="C588" s="2" t="str">
        <f t="shared" si="1"/>
        <v> </v>
      </c>
      <c r="D588" s="2" t="str">
        <f>IFERROR(__xludf.DUMMYFUNCTION("""COMPUTED_VALUE"""),"")</f>
        <v/>
      </c>
      <c r="E588" s="2" t="str">
        <f>IFERROR(__xludf.DUMMYFUNCTION("""COMPUTED_VALUE"""),"")</f>
        <v/>
      </c>
    </row>
    <row r="589">
      <c r="A589" s="2"/>
      <c r="B589" s="2"/>
      <c r="C589" s="2" t="str">
        <f t="shared" si="1"/>
        <v> </v>
      </c>
      <c r="D589" s="2" t="str">
        <f>IFERROR(__xludf.DUMMYFUNCTION("""COMPUTED_VALUE"""),"")</f>
        <v/>
      </c>
      <c r="E589" s="2" t="str">
        <f>IFERROR(__xludf.DUMMYFUNCTION("""COMPUTED_VALUE"""),"")</f>
        <v/>
      </c>
    </row>
    <row r="590">
      <c r="A590" s="2"/>
      <c r="B590" s="2"/>
      <c r="C590" s="2" t="str">
        <f t="shared" si="1"/>
        <v> </v>
      </c>
      <c r="D590" s="2" t="str">
        <f>IFERROR(__xludf.DUMMYFUNCTION("""COMPUTED_VALUE"""),"")</f>
        <v/>
      </c>
      <c r="E590" s="2" t="str">
        <f>IFERROR(__xludf.DUMMYFUNCTION("""COMPUTED_VALUE"""),"")</f>
        <v/>
      </c>
    </row>
    <row r="591">
      <c r="A591" s="2"/>
      <c r="B591" s="2"/>
      <c r="C591" s="2" t="str">
        <f t="shared" si="1"/>
        <v> </v>
      </c>
      <c r="D591" s="2" t="str">
        <f>IFERROR(__xludf.DUMMYFUNCTION("""COMPUTED_VALUE"""),"")</f>
        <v/>
      </c>
      <c r="E591" s="2" t="str">
        <f>IFERROR(__xludf.DUMMYFUNCTION("""COMPUTED_VALUE"""),"")</f>
        <v/>
      </c>
    </row>
    <row r="592">
      <c r="A592" s="2"/>
      <c r="B592" s="2"/>
      <c r="C592" s="2" t="str">
        <f t="shared" si="1"/>
        <v> </v>
      </c>
      <c r="D592" s="2" t="str">
        <f>IFERROR(__xludf.DUMMYFUNCTION("""COMPUTED_VALUE"""),"")</f>
        <v/>
      </c>
      <c r="E592" s="2" t="str">
        <f>IFERROR(__xludf.DUMMYFUNCTION("""COMPUTED_VALUE"""),"")</f>
        <v/>
      </c>
    </row>
    <row r="593">
      <c r="A593" s="2"/>
      <c r="B593" s="2"/>
      <c r="C593" s="2" t="str">
        <f t="shared" si="1"/>
        <v> </v>
      </c>
      <c r="D593" s="2" t="str">
        <f>IFERROR(__xludf.DUMMYFUNCTION("""COMPUTED_VALUE"""),"")</f>
        <v/>
      </c>
      <c r="E593" s="2" t="str">
        <f>IFERROR(__xludf.DUMMYFUNCTION("""COMPUTED_VALUE"""),"")</f>
        <v/>
      </c>
    </row>
    <row r="594">
      <c r="A594" s="2"/>
      <c r="B594" s="2"/>
      <c r="C594" s="2" t="str">
        <f t="shared" si="1"/>
        <v> </v>
      </c>
      <c r="D594" s="2" t="str">
        <f>IFERROR(__xludf.DUMMYFUNCTION("""COMPUTED_VALUE"""),"")</f>
        <v/>
      </c>
      <c r="E594" s="2" t="str">
        <f>IFERROR(__xludf.DUMMYFUNCTION("""COMPUTED_VALUE"""),"")</f>
        <v/>
      </c>
    </row>
    <row r="595">
      <c r="A595" s="2"/>
      <c r="B595" s="2"/>
      <c r="C595" s="2" t="str">
        <f t="shared" si="1"/>
        <v> </v>
      </c>
      <c r="D595" s="2" t="str">
        <f>IFERROR(__xludf.DUMMYFUNCTION("""COMPUTED_VALUE"""),"")</f>
        <v/>
      </c>
      <c r="E595" s="2" t="str">
        <f>IFERROR(__xludf.DUMMYFUNCTION("""COMPUTED_VALUE"""),"")</f>
        <v/>
      </c>
    </row>
    <row r="596">
      <c r="A596" s="2"/>
      <c r="B596" s="2"/>
      <c r="C596" s="2" t="str">
        <f t="shared" si="1"/>
        <v> </v>
      </c>
      <c r="D596" s="2" t="str">
        <f>IFERROR(__xludf.DUMMYFUNCTION("""COMPUTED_VALUE"""),"")</f>
        <v/>
      </c>
      <c r="E596" s="2" t="str">
        <f>IFERROR(__xludf.DUMMYFUNCTION("""COMPUTED_VALUE"""),"")</f>
        <v/>
      </c>
    </row>
    <row r="597">
      <c r="A597" s="2"/>
      <c r="B597" s="2"/>
      <c r="C597" s="2" t="str">
        <f t="shared" si="1"/>
        <v> </v>
      </c>
      <c r="D597" s="2" t="str">
        <f>IFERROR(__xludf.DUMMYFUNCTION("""COMPUTED_VALUE"""),"")</f>
        <v/>
      </c>
      <c r="E597" s="2" t="str">
        <f>IFERROR(__xludf.DUMMYFUNCTION("""COMPUTED_VALUE"""),"")</f>
        <v/>
      </c>
    </row>
    <row r="598">
      <c r="A598" s="2"/>
      <c r="B598" s="2"/>
      <c r="C598" s="2" t="str">
        <f t="shared" si="1"/>
        <v> </v>
      </c>
      <c r="D598" s="2" t="str">
        <f>IFERROR(__xludf.DUMMYFUNCTION("""COMPUTED_VALUE"""),"")</f>
        <v/>
      </c>
      <c r="E598" s="2" t="str">
        <f>IFERROR(__xludf.DUMMYFUNCTION("""COMPUTED_VALUE"""),"")</f>
        <v/>
      </c>
    </row>
    <row r="599">
      <c r="A599" s="2"/>
      <c r="B599" s="2"/>
      <c r="C599" s="2" t="str">
        <f t="shared" si="1"/>
        <v> </v>
      </c>
      <c r="D599" s="2" t="str">
        <f>IFERROR(__xludf.DUMMYFUNCTION("""COMPUTED_VALUE"""),"")</f>
        <v/>
      </c>
      <c r="E599" s="2" t="str">
        <f>IFERROR(__xludf.DUMMYFUNCTION("""COMPUTED_VALUE"""),"")</f>
        <v/>
      </c>
    </row>
    <row r="600">
      <c r="A600" s="2"/>
      <c r="B600" s="2"/>
      <c r="C600" s="2" t="str">
        <f t="shared" si="1"/>
        <v> </v>
      </c>
      <c r="D600" s="2" t="str">
        <f>IFERROR(__xludf.DUMMYFUNCTION("""COMPUTED_VALUE"""),"")</f>
        <v/>
      </c>
      <c r="E600" s="2" t="str">
        <f>IFERROR(__xludf.DUMMYFUNCTION("""COMPUTED_VALUE"""),"")</f>
        <v/>
      </c>
    </row>
    <row r="601">
      <c r="A601" s="2"/>
      <c r="B601" s="2"/>
      <c r="C601" s="2" t="str">
        <f t="shared" si="1"/>
        <v> </v>
      </c>
      <c r="D601" s="2" t="str">
        <f>IFERROR(__xludf.DUMMYFUNCTION("""COMPUTED_VALUE"""),"")</f>
        <v/>
      </c>
      <c r="E601" s="2" t="str">
        <f>IFERROR(__xludf.DUMMYFUNCTION("""COMPUTED_VALUE"""),"")</f>
        <v/>
      </c>
    </row>
    <row r="602">
      <c r="A602" s="2"/>
      <c r="B602" s="2"/>
      <c r="C602" s="2" t="str">
        <f t="shared" si="1"/>
        <v> </v>
      </c>
      <c r="D602" s="2" t="str">
        <f>IFERROR(__xludf.DUMMYFUNCTION("""COMPUTED_VALUE"""),"")</f>
        <v/>
      </c>
      <c r="E602" s="2" t="str">
        <f>IFERROR(__xludf.DUMMYFUNCTION("""COMPUTED_VALUE"""),"")</f>
        <v/>
      </c>
    </row>
    <row r="603">
      <c r="A603" s="2"/>
      <c r="B603" s="2"/>
      <c r="C603" s="2" t="str">
        <f t="shared" si="1"/>
        <v> </v>
      </c>
      <c r="D603" s="2" t="str">
        <f>IFERROR(__xludf.DUMMYFUNCTION("""COMPUTED_VALUE"""),"")</f>
        <v/>
      </c>
      <c r="E603" s="2" t="str">
        <f>IFERROR(__xludf.DUMMYFUNCTION("""COMPUTED_VALUE"""),"")</f>
        <v/>
      </c>
    </row>
    <row r="604">
      <c r="A604" s="2"/>
      <c r="B604" s="2"/>
      <c r="C604" s="2" t="str">
        <f t="shared" si="1"/>
        <v> </v>
      </c>
      <c r="D604" s="2" t="str">
        <f>IFERROR(__xludf.DUMMYFUNCTION("""COMPUTED_VALUE"""),"")</f>
        <v/>
      </c>
      <c r="E604" s="2" t="str">
        <f>IFERROR(__xludf.DUMMYFUNCTION("""COMPUTED_VALUE"""),"")</f>
        <v/>
      </c>
    </row>
    <row r="605">
      <c r="A605" s="2"/>
      <c r="B605" s="2"/>
      <c r="C605" s="2" t="str">
        <f t="shared" si="1"/>
        <v> </v>
      </c>
      <c r="D605" s="2" t="str">
        <f>IFERROR(__xludf.DUMMYFUNCTION("""COMPUTED_VALUE"""),"")</f>
        <v/>
      </c>
      <c r="E605" s="2" t="str">
        <f>IFERROR(__xludf.DUMMYFUNCTION("""COMPUTED_VALUE"""),"")</f>
        <v/>
      </c>
    </row>
    <row r="606">
      <c r="A606" s="2"/>
      <c r="B606" s="2"/>
      <c r="C606" s="2" t="str">
        <f t="shared" si="1"/>
        <v> </v>
      </c>
      <c r="D606" s="2" t="str">
        <f>IFERROR(__xludf.DUMMYFUNCTION("""COMPUTED_VALUE"""),"")</f>
        <v/>
      </c>
      <c r="E606" s="2" t="str">
        <f>IFERROR(__xludf.DUMMYFUNCTION("""COMPUTED_VALUE"""),"")</f>
        <v/>
      </c>
    </row>
    <row r="607">
      <c r="A607" s="2"/>
      <c r="B607" s="2"/>
      <c r="C607" s="2" t="str">
        <f t="shared" si="1"/>
        <v> </v>
      </c>
      <c r="D607" s="2" t="str">
        <f>IFERROR(__xludf.DUMMYFUNCTION("""COMPUTED_VALUE"""),"")</f>
        <v/>
      </c>
      <c r="E607" s="2" t="str">
        <f>IFERROR(__xludf.DUMMYFUNCTION("""COMPUTED_VALUE"""),"")</f>
        <v/>
      </c>
    </row>
    <row r="608">
      <c r="A608" s="2"/>
      <c r="B608" s="2"/>
      <c r="C608" s="2" t="str">
        <f t="shared" si="1"/>
        <v> </v>
      </c>
      <c r="D608" s="2" t="str">
        <f>IFERROR(__xludf.DUMMYFUNCTION("""COMPUTED_VALUE"""),"")</f>
        <v/>
      </c>
      <c r="E608" s="2" t="str">
        <f>IFERROR(__xludf.DUMMYFUNCTION("""COMPUTED_VALUE"""),"")</f>
        <v/>
      </c>
    </row>
    <row r="609">
      <c r="A609" s="2"/>
      <c r="B609" s="2"/>
      <c r="C609" s="2" t="str">
        <f t="shared" si="1"/>
        <v> </v>
      </c>
      <c r="D609" s="2" t="str">
        <f>IFERROR(__xludf.DUMMYFUNCTION("""COMPUTED_VALUE"""),"")</f>
        <v/>
      </c>
      <c r="E609" s="2" t="str">
        <f>IFERROR(__xludf.DUMMYFUNCTION("""COMPUTED_VALUE"""),"")</f>
        <v/>
      </c>
    </row>
    <row r="610">
      <c r="A610" s="2"/>
      <c r="B610" s="2"/>
      <c r="C610" s="2" t="str">
        <f t="shared" si="1"/>
        <v> </v>
      </c>
      <c r="D610" s="2" t="str">
        <f>IFERROR(__xludf.DUMMYFUNCTION("""COMPUTED_VALUE"""),"")</f>
        <v/>
      </c>
      <c r="E610" s="2" t="str">
        <f>IFERROR(__xludf.DUMMYFUNCTION("""COMPUTED_VALUE"""),"")</f>
        <v/>
      </c>
    </row>
    <row r="611">
      <c r="A611" s="2"/>
      <c r="B611" s="2"/>
      <c r="C611" s="2" t="str">
        <f t="shared" si="1"/>
        <v> </v>
      </c>
      <c r="D611" s="2" t="str">
        <f>IFERROR(__xludf.DUMMYFUNCTION("""COMPUTED_VALUE"""),"")</f>
        <v/>
      </c>
      <c r="E611" s="2" t="str">
        <f>IFERROR(__xludf.DUMMYFUNCTION("""COMPUTED_VALUE"""),"")</f>
        <v/>
      </c>
    </row>
    <row r="612">
      <c r="A612" s="2"/>
      <c r="B612" s="2"/>
      <c r="C612" s="2" t="str">
        <f t="shared" si="1"/>
        <v> </v>
      </c>
      <c r="D612" s="2" t="str">
        <f>IFERROR(__xludf.DUMMYFUNCTION("""COMPUTED_VALUE"""),"")</f>
        <v/>
      </c>
      <c r="E612" s="2" t="str">
        <f>IFERROR(__xludf.DUMMYFUNCTION("""COMPUTED_VALUE"""),"")</f>
        <v/>
      </c>
    </row>
    <row r="613">
      <c r="A613" s="2"/>
      <c r="B613" s="2"/>
      <c r="C613" s="2" t="str">
        <f t="shared" si="1"/>
        <v> </v>
      </c>
      <c r="D613" s="2" t="str">
        <f>IFERROR(__xludf.DUMMYFUNCTION("""COMPUTED_VALUE"""),"")</f>
        <v/>
      </c>
      <c r="E613" s="2" t="str">
        <f>IFERROR(__xludf.DUMMYFUNCTION("""COMPUTED_VALUE"""),"")</f>
        <v/>
      </c>
    </row>
    <row r="614">
      <c r="A614" s="2"/>
      <c r="B614" s="2"/>
      <c r="C614" s="2" t="str">
        <f t="shared" si="1"/>
        <v> </v>
      </c>
      <c r="D614" s="2" t="str">
        <f>IFERROR(__xludf.DUMMYFUNCTION("""COMPUTED_VALUE"""),"")</f>
        <v/>
      </c>
      <c r="E614" s="2" t="str">
        <f>IFERROR(__xludf.DUMMYFUNCTION("""COMPUTED_VALUE"""),"")</f>
        <v/>
      </c>
    </row>
    <row r="615">
      <c r="A615" s="2"/>
      <c r="B615" s="2"/>
      <c r="C615" s="2" t="str">
        <f t="shared" si="1"/>
        <v> </v>
      </c>
      <c r="D615" s="2" t="str">
        <f>IFERROR(__xludf.DUMMYFUNCTION("""COMPUTED_VALUE"""),"")</f>
        <v/>
      </c>
      <c r="E615" s="2" t="str">
        <f>IFERROR(__xludf.DUMMYFUNCTION("""COMPUTED_VALUE"""),"")</f>
        <v/>
      </c>
    </row>
    <row r="616">
      <c r="A616" s="2"/>
      <c r="B616" s="2"/>
      <c r="C616" s="2" t="str">
        <f t="shared" si="1"/>
        <v> </v>
      </c>
      <c r="D616" s="2" t="str">
        <f>IFERROR(__xludf.DUMMYFUNCTION("""COMPUTED_VALUE"""),"")</f>
        <v/>
      </c>
      <c r="E616" s="2" t="str">
        <f>IFERROR(__xludf.DUMMYFUNCTION("""COMPUTED_VALUE"""),"")</f>
        <v/>
      </c>
    </row>
    <row r="617">
      <c r="A617" s="2"/>
      <c r="B617" s="2"/>
      <c r="C617" s="2" t="str">
        <f t="shared" si="1"/>
        <v> </v>
      </c>
      <c r="D617" s="2" t="str">
        <f>IFERROR(__xludf.DUMMYFUNCTION("""COMPUTED_VALUE"""),"")</f>
        <v/>
      </c>
      <c r="E617" s="2" t="str">
        <f>IFERROR(__xludf.DUMMYFUNCTION("""COMPUTED_VALUE"""),"")</f>
        <v/>
      </c>
    </row>
    <row r="618">
      <c r="A618" s="2"/>
      <c r="B618" s="2"/>
      <c r="C618" s="2" t="str">
        <f t="shared" si="1"/>
        <v> </v>
      </c>
      <c r="D618" s="2" t="str">
        <f>IFERROR(__xludf.DUMMYFUNCTION("""COMPUTED_VALUE"""),"")</f>
        <v/>
      </c>
      <c r="E618" s="2" t="str">
        <f>IFERROR(__xludf.DUMMYFUNCTION("""COMPUTED_VALUE"""),"")</f>
        <v/>
      </c>
    </row>
    <row r="619">
      <c r="A619" s="2"/>
      <c r="B619" s="2"/>
      <c r="C619" s="2" t="str">
        <f t="shared" si="1"/>
        <v> </v>
      </c>
      <c r="D619" s="2" t="str">
        <f>IFERROR(__xludf.DUMMYFUNCTION("""COMPUTED_VALUE"""),"")</f>
        <v/>
      </c>
      <c r="E619" s="2" t="str">
        <f>IFERROR(__xludf.DUMMYFUNCTION("""COMPUTED_VALUE"""),"")</f>
        <v/>
      </c>
    </row>
    <row r="620">
      <c r="A620" s="2"/>
      <c r="B620" s="2"/>
      <c r="C620" s="2" t="str">
        <f t="shared" si="1"/>
        <v> </v>
      </c>
      <c r="D620" s="2" t="str">
        <f>IFERROR(__xludf.DUMMYFUNCTION("""COMPUTED_VALUE"""),"")</f>
        <v/>
      </c>
      <c r="E620" s="2" t="str">
        <f>IFERROR(__xludf.DUMMYFUNCTION("""COMPUTED_VALUE"""),"")</f>
        <v/>
      </c>
    </row>
    <row r="621">
      <c r="A621" s="2"/>
      <c r="B621" s="2"/>
      <c r="C621" s="2" t="str">
        <f t="shared" si="1"/>
        <v> </v>
      </c>
      <c r="D621" s="2" t="str">
        <f>IFERROR(__xludf.DUMMYFUNCTION("""COMPUTED_VALUE"""),"")</f>
        <v/>
      </c>
      <c r="E621" s="2" t="str">
        <f>IFERROR(__xludf.DUMMYFUNCTION("""COMPUTED_VALUE"""),"")</f>
        <v/>
      </c>
    </row>
    <row r="622">
      <c r="A622" s="2"/>
      <c r="B622" s="2"/>
      <c r="C622" s="2" t="str">
        <f t="shared" si="1"/>
        <v> </v>
      </c>
      <c r="D622" s="2" t="str">
        <f>IFERROR(__xludf.DUMMYFUNCTION("""COMPUTED_VALUE"""),"")</f>
        <v/>
      </c>
      <c r="E622" s="2" t="str">
        <f>IFERROR(__xludf.DUMMYFUNCTION("""COMPUTED_VALUE"""),"")</f>
        <v/>
      </c>
    </row>
    <row r="623">
      <c r="A623" s="2"/>
      <c r="B623" s="2"/>
      <c r="C623" s="2" t="str">
        <f t="shared" si="1"/>
        <v> </v>
      </c>
      <c r="D623" s="2" t="str">
        <f>IFERROR(__xludf.DUMMYFUNCTION("""COMPUTED_VALUE"""),"")</f>
        <v/>
      </c>
      <c r="E623" s="2" t="str">
        <f>IFERROR(__xludf.DUMMYFUNCTION("""COMPUTED_VALUE"""),"")</f>
        <v/>
      </c>
    </row>
    <row r="624">
      <c r="A624" s="2"/>
      <c r="B624" s="2"/>
      <c r="C624" s="2" t="str">
        <f t="shared" si="1"/>
        <v> </v>
      </c>
      <c r="D624" s="2" t="str">
        <f>IFERROR(__xludf.DUMMYFUNCTION("""COMPUTED_VALUE"""),"")</f>
        <v/>
      </c>
      <c r="E624" s="2" t="str">
        <f>IFERROR(__xludf.DUMMYFUNCTION("""COMPUTED_VALUE"""),"")</f>
        <v/>
      </c>
    </row>
    <row r="625">
      <c r="A625" s="2"/>
      <c r="B625" s="2"/>
      <c r="C625" s="2" t="str">
        <f t="shared" si="1"/>
        <v> </v>
      </c>
      <c r="D625" s="2" t="str">
        <f>IFERROR(__xludf.DUMMYFUNCTION("""COMPUTED_VALUE"""),"")</f>
        <v/>
      </c>
      <c r="E625" s="2" t="str">
        <f>IFERROR(__xludf.DUMMYFUNCTION("""COMPUTED_VALUE"""),"")</f>
        <v/>
      </c>
    </row>
    <row r="626">
      <c r="A626" s="2"/>
      <c r="B626" s="2"/>
      <c r="C626" s="2" t="str">
        <f t="shared" si="1"/>
        <v> </v>
      </c>
      <c r="D626" s="2" t="str">
        <f>IFERROR(__xludf.DUMMYFUNCTION("""COMPUTED_VALUE"""),"")</f>
        <v/>
      </c>
      <c r="E626" s="2" t="str">
        <f>IFERROR(__xludf.DUMMYFUNCTION("""COMPUTED_VALUE"""),"")</f>
        <v/>
      </c>
    </row>
    <row r="627">
      <c r="A627" s="2"/>
      <c r="B627" s="2"/>
      <c r="C627" s="2" t="str">
        <f t="shared" si="1"/>
        <v> </v>
      </c>
      <c r="D627" s="2" t="str">
        <f>IFERROR(__xludf.DUMMYFUNCTION("""COMPUTED_VALUE"""),"")</f>
        <v/>
      </c>
      <c r="E627" s="2" t="str">
        <f>IFERROR(__xludf.DUMMYFUNCTION("""COMPUTED_VALUE"""),"")</f>
        <v/>
      </c>
    </row>
    <row r="628">
      <c r="A628" s="2"/>
      <c r="B628" s="2"/>
      <c r="C628" s="2" t="str">
        <f t="shared" si="1"/>
        <v> </v>
      </c>
      <c r="D628" s="2" t="str">
        <f>IFERROR(__xludf.DUMMYFUNCTION("""COMPUTED_VALUE"""),"")</f>
        <v/>
      </c>
      <c r="E628" s="2" t="str">
        <f>IFERROR(__xludf.DUMMYFUNCTION("""COMPUTED_VALUE"""),"")</f>
        <v/>
      </c>
    </row>
    <row r="629">
      <c r="A629" s="2"/>
      <c r="B629" s="2"/>
      <c r="C629" s="2" t="str">
        <f t="shared" si="1"/>
        <v> </v>
      </c>
      <c r="D629" s="2" t="str">
        <f>IFERROR(__xludf.DUMMYFUNCTION("""COMPUTED_VALUE"""),"")</f>
        <v/>
      </c>
      <c r="E629" s="2" t="str">
        <f>IFERROR(__xludf.DUMMYFUNCTION("""COMPUTED_VALUE"""),"")</f>
        <v/>
      </c>
    </row>
    <row r="630">
      <c r="A630" s="2"/>
      <c r="B630" s="2"/>
      <c r="C630" s="2" t="str">
        <f t="shared" si="1"/>
        <v> </v>
      </c>
      <c r="D630" s="2" t="str">
        <f>IFERROR(__xludf.DUMMYFUNCTION("""COMPUTED_VALUE"""),"")</f>
        <v/>
      </c>
      <c r="E630" s="2" t="str">
        <f>IFERROR(__xludf.DUMMYFUNCTION("""COMPUTED_VALUE"""),"")</f>
        <v/>
      </c>
    </row>
    <row r="631">
      <c r="A631" s="2"/>
      <c r="B631" s="2"/>
      <c r="C631" s="2" t="str">
        <f t="shared" si="1"/>
        <v> </v>
      </c>
      <c r="D631" s="2" t="str">
        <f>IFERROR(__xludf.DUMMYFUNCTION("""COMPUTED_VALUE"""),"")</f>
        <v/>
      </c>
      <c r="E631" s="2" t="str">
        <f>IFERROR(__xludf.DUMMYFUNCTION("""COMPUTED_VALUE"""),"")</f>
        <v/>
      </c>
    </row>
    <row r="632">
      <c r="A632" s="2"/>
      <c r="B632" s="2"/>
      <c r="C632" s="2" t="str">
        <f t="shared" si="1"/>
        <v> </v>
      </c>
      <c r="D632" s="2" t="str">
        <f>IFERROR(__xludf.DUMMYFUNCTION("""COMPUTED_VALUE"""),"")</f>
        <v/>
      </c>
      <c r="E632" s="2" t="str">
        <f>IFERROR(__xludf.DUMMYFUNCTION("""COMPUTED_VALUE"""),"")</f>
        <v/>
      </c>
    </row>
    <row r="633">
      <c r="A633" s="2"/>
      <c r="B633" s="2"/>
      <c r="C633" s="2" t="str">
        <f t="shared" si="1"/>
        <v> </v>
      </c>
      <c r="D633" s="2" t="str">
        <f>IFERROR(__xludf.DUMMYFUNCTION("""COMPUTED_VALUE"""),"")</f>
        <v/>
      </c>
      <c r="E633" s="2" t="str">
        <f>IFERROR(__xludf.DUMMYFUNCTION("""COMPUTED_VALUE"""),"")</f>
        <v/>
      </c>
    </row>
    <row r="634">
      <c r="A634" s="2"/>
      <c r="B634" s="2"/>
      <c r="C634" s="2" t="str">
        <f t="shared" si="1"/>
        <v> </v>
      </c>
      <c r="D634" s="2" t="str">
        <f>IFERROR(__xludf.DUMMYFUNCTION("""COMPUTED_VALUE"""),"")</f>
        <v/>
      </c>
      <c r="E634" s="2" t="str">
        <f>IFERROR(__xludf.DUMMYFUNCTION("""COMPUTED_VALUE"""),"")</f>
        <v/>
      </c>
    </row>
    <row r="635">
      <c r="A635" s="2"/>
      <c r="B635" s="2"/>
      <c r="C635" s="2" t="str">
        <f t="shared" si="1"/>
        <v> </v>
      </c>
      <c r="D635" s="2" t="str">
        <f>IFERROR(__xludf.DUMMYFUNCTION("""COMPUTED_VALUE"""),"")</f>
        <v/>
      </c>
      <c r="E635" s="2" t="str">
        <f>IFERROR(__xludf.DUMMYFUNCTION("""COMPUTED_VALUE"""),"")</f>
        <v/>
      </c>
    </row>
    <row r="636">
      <c r="A636" s="2"/>
      <c r="B636" s="2"/>
      <c r="C636" s="2" t="str">
        <f t="shared" si="1"/>
        <v> </v>
      </c>
      <c r="D636" s="2" t="str">
        <f>IFERROR(__xludf.DUMMYFUNCTION("""COMPUTED_VALUE"""),"")</f>
        <v/>
      </c>
      <c r="E636" s="2" t="str">
        <f>IFERROR(__xludf.DUMMYFUNCTION("""COMPUTED_VALUE"""),"")</f>
        <v/>
      </c>
    </row>
    <row r="637">
      <c r="A637" s="2"/>
      <c r="B637" s="2"/>
      <c r="C637" s="2" t="str">
        <f t="shared" si="1"/>
        <v> </v>
      </c>
      <c r="D637" s="2" t="str">
        <f>IFERROR(__xludf.DUMMYFUNCTION("""COMPUTED_VALUE"""),"")</f>
        <v/>
      </c>
      <c r="E637" s="2" t="str">
        <f>IFERROR(__xludf.DUMMYFUNCTION("""COMPUTED_VALUE"""),"")</f>
        <v/>
      </c>
    </row>
    <row r="638">
      <c r="A638" s="2"/>
      <c r="B638" s="2"/>
      <c r="C638" s="2" t="str">
        <f t="shared" si="1"/>
        <v> </v>
      </c>
      <c r="D638" s="2" t="str">
        <f>IFERROR(__xludf.DUMMYFUNCTION("""COMPUTED_VALUE"""),"")</f>
        <v/>
      </c>
      <c r="E638" s="2" t="str">
        <f>IFERROR(__xludf.DUMMYFUNCTION("""COMPUTED_VALUE"""),"")</f>
        <v/>
      </c>
    </row>
    <row r="639">
      <c r="A639" s="2"/>
      <c r="B639" s="2"/>
      <c r="C639" s="2" t="str">
        <f t="shared" si="1"/>
        <v> </v>
      </c>
      <c r="D639" s="2" t="str">
        <f>IFERROR(__xludf.DUMMYFUNCTION("""COMPUTED_VALUE"""),"")</f>
        <v/>
      </c>
      <c r="E639" s="2" t="str">
        <f>IFERROR(__xludf.DUMMYFUNCTION("""COMPUTED_VALUE"""),"")</f>
        <v/>
      </c>
    </row>
    <row r="640">
      <c r="A640" s="2"/>
      <c r="B640" s="2"/>
      <c r="C640" s="2" t="str">
        <f t="shared" si="1"/>
        <v> </v>
      </c>
      <c r="D640" s="2" t="str">
        <f>IFERROR(__xludf.DUMMYFUNCTION("""COMPUTED_VALUE"""),"")</f>
        <v/>
      </c>
      <c r="E640" s="2" t="str">
        <f>IFERROR(__xludf.DUMMYFUNCTION("""COMPUTED_VALUE"""),"")</f>
        <v/>
      </c>
    </row>
    <row r="641">
      <c r="A641" s="2"/>
      <c r="B641" s="2"/>
      <c r="C641" s="2" t="str">
        <f t="shared" si="1"/>
        <v> </v>
      </c>
      <c r="D641" s="2" t="str">
        <f>IFERROR(__xludf.DUMMYFUNCTION("""COMPUTED_VALUE"""),"")</f>
        <v/>
      </c>
      <c r="E641" s="2" t="str">
        <f>IFERROR(__xludf.DUMMYFUNCTION("""COMPUTED_VALUE"""),"")</f>
        <v/>
      </c>
    </row>
    <row r="642">
      <c r="A642" s="2"/>
      <c r="B642" s="2"/>
      <c r="C642" s="2" t="str">
        <f t="shared" si="1"/>
        <v> </v>
      </c>
      <c r="D642" s="2" t="str">
        <f>IFERROR(__xludf.DUMMYFUNCTION("""COMPUTED_VALUE"""),"")</f>
        <v/>
      </c>
      <c r="E642" s="2" t="str">
        <f>IFERROR(__xludf.DUMMYFUNCTION("""COMPUTED_VALUE"""),"")</f>
        <v/>
      </c>
    </row>
    <row r="643">
      <c r="A643" s="2"/>
      <c r="B643" s="2"/>
      <c r="C643" s="2" t="str">
        <f t="shared" si="1"/>
        <v> </v>
      </c>
      <c r="D643" s="2" t="str">
        <f>IFERROR(__xludf.DUMMYFUNCTION("""COMPUTED_VALUE"""),"")</f>
        <v/>
      </c>
      <c r="E643" s="2" t="str">
        <f>IFERROR(__xludf.DUMMYFUNCTION("""COMPUTED_VALUE"""),"")</f>
        <v/>
      </c>
    </row>
    <row r="644">
      <c r="A644" s="2"/>
      <c r="B644" s="2"/>
      <c r="C644" s="2" t="str">
        <f t="shared" si="1"/>
        <v> </v>
      </c>
      <c r="D644" s="2" t="str">
        <f>IFERROR(__xludf.DUMMYFUNCTION("""COMPUTED_VALUE"""),"")</f>
        <v/>
      </c>
      <c r="E644" s="2" t="str">
        <f>IFERROR(__xludf.DUMMYFUNCTION("""COMPUTED_VALUE"""),"")</f>
        <v/>
      </c>
    </row>
    <row r="645">
      <c r="A645" s="2"/>
      <c r="B645" s="2"/>
      <c r="C645" s="2" t="str">
        <f t="shared" si="1"/>
        <v> </v>
      </c>
      <c r="D645" s="2" t="str">
        <f>IFERROR(__xludf.DUMMYFUNCTION("""COMPUTED_VALUE"""),"")</f>
        <v/>
      </c>
      <c r="E645" s="2" t="str">
        <f>IFERROR(__xludf.DUMMYFUNCTION("""COMPUTED_VALUE"""),"")</f>
        <v/>
      </c>
    </row>
    <row r="646">
      <c r="A646" s="2"/>
      <c r="B646" s="2"/>
      <c r="C646" s="2" t="str">
        <f t="shared" si="1"/>
        <v> </v>
      </c>
      <c r="D646" s="2" t="str">
        <f>IFERROR(__xludf.DUMMYFUNCTION("""COMPUTED_VALUE"""),"")</f>
        <v/>
      </c>
      <c r="E646" s="2" t="str">
        <f>IFERROR(__xludf.DUMMYFUNCTION("""COMPUTED_VALUE"""),"")</f>
        <v/>
      </c>
    </row>
    <row r="647">
      <c r="A647" s="2"/>
      <c r="B647" s="2"/>
      <c r="C647" s="2" t="str">
        <f t="shared" si="1"/>
        <v> </v>
      </c>
      <c r="D647" s="2" t="str">
        <f>IFERROR(__xludf.DUMMYFUNCTION("""COMPUTED_VALUE"""),"")</f>
        <v/>
      </c>
      <c r="E647" s="2" t="str">
        <f>IFERROR(__xludf.DUMMYFUNCTION("""COMPUTED_VALUE"""),"")</f>
        <v/>
      </c>
    </row>
    <row r="648">
      <c r="A648" s="2"/>
      <c r="B648" s="2"/>
      <c r="C648" s="2" t="str">
        <f t="shared" si="1"/>
        <v> </v>
      </c>
      <c r="D648" s="2" t="str">
        <f>IFERROR(__xludf.DUMMYFUNCTION("""COMPUTED_VALUE"""),"")</f>
        <v/>
      </c>
      <c r="E648" s="2" t="str">
        <f>IFERROR(__xludf.DUMMYFUNCTION("""COMPUTED_VALUE"""),"")</f>
        <v/>
      </c>
    </row>
    <row r="649">
      <c r="A649" s="2"/>
      <c r="B649" s="2"/>
      <c r="C649" s="2" t="str">
        <f t="shared" si="1"/>
        <v> </v>
      </c>
      <c r="D649" s="2" t="str">
        <f>IFERROR(__xludf.DUMMYFUNCTION("""COMPUTED_VALUE"""),"")</f>
        <v/>
      </c>
      <c r="E649" s="2" t="str">
        <f>IFERROR(__xludf.DUMMYFUNCTION("""COMPUTED_VALUE"""),"")</f>
        <v/>
      </c>
    </row>
    <row r="650">
      <c r="A650" s="2"/>
      <c r="B650" s="2"/>
      <c r="C650" s="2" t="str">
        <f t="shared" si="1"/>
        <v> </v>
      </c>
      <c r="D650" s="2" t="str">
        <f>IFERROR(__xludf.DUMMYFUNCTION("""COMPUTED_VALUE"""),"")</f>
        <v/>
      </c>
      <c r="E650" s="2" t="str">
        <f>IFERROR(__xludf.DUMMYFUNCTION("""COMPUTED_VALUE"""),"")</f>
        <v/>
      </c>
    </row>
    <row r="651">
      <c r="A651" s="2"/>
      <c r="B651" s="2"/>
      <c r="C651" s="2" t="str">
        <f t="shared" si="1"/>
        <v> </v>
      </c>
      <c r="D651" s="2" t="str">
        <f>IFERROR(__xludf.DUMMYFUNCTION("""COMPUTED_VALUE"""),"")</f>
        <v/>
      </c>
      <c r="E651" s="2" t="str">
        <f>IFERROR(__xludf.DUMMYFUNCTION("""COMPUTED_VALUE"""),"")</f>
        <v/>
      </c>
    </row>
    <row r="652">
      <c r="A652" s="2"/>
      <c r="B652" s="2"/>
      <c r="C652" s="2" t="str">
        <f t="shared" si="1"/>
        <v> </v>
      </c>
      <c r="D652" s="2" t="str">
        <f>IFERROR(__xludf.DUMMYFUNCTION("""COMPUTED_VALUE"""),"")</f>
        <v/>
      </c>
      <c r="E652" s="2" t="str">
        <f>IFERROR(__xludf.DUMMYFUNCTION("""COMPUTED_VALUE"""),"")</f>
        <v/>
      </c>
    </row>
    <row r="653">
      <c r="A653" s="2"/>
      <c r="B653" s="2"/>
      <c r="C653" s="2" t="str">
        <f t="shared" si="1"/>
        <v> </v>
      </c>
      <c r="D653" s="2" t="str">
        <f>IFERROR(__xludf.DUMMYFUNCTION("""COMPUTED_VALUE"""),"")</f>
        <v/>
      </c>
      <c r="E653" s="2" t="str">
        <f>IFERROR(__xludf.DUMMYFUNCTION("""COMPUTED_VALUE"""),"")</f>
        <v/>
      </c>
    </row>
    <row r="654">
      <c r="A654" s="2"/>
      <c r="B654" s="2"/>
      <c r="C654" s="2" t="str">
        <f t="shared" si="1"/>
        <v> </v>
      </c>
      <c r="D654" s="2" t="str">
        <f>IFERROR(__xludf.DUMMYFUNCTION("""COMPUTED_VALUE"""),"")</f>
        <v/>
      </c>
      <c r="E654" s="2" t="str">
        <f>IFERROR(__xludf.DUMMYFUNCTION("""COMPUTED_VALUE"""),"")</f>
        <v/>
      </c>
    </row>
    <row r="655">
      <c r="A655" s="2"/>
      <c r="B655" s="2"/>
      <c r="C655" s="2" t="str">
        <f t="shared" si="1"/>
        <v> </v>
      </c>
      <c r="D655" s="2" t="str">
        <f>IFERROR(__xludf.DUMMYFUNCTION("""COMPUTED_VALUE"""),"")</f>
        <v/>
      </c>
      <c r="E655" s="2" t="str">
        <f>IFERROR(__xludf.DUMMYFUNCTION("""COMPUTED_VALUE"""),"")</f>
        <v/>
      </c>
    </row>
    <row r="656">
      <c r="A656" s="2"/>
      <c r="B656" s="2"/>
      <c r="C656" s="2" t="str">
        <f t="shared" si="1"/>
        <v> </v>
      </c>
      <c r="D656" s="2" t="str">
        <f>IFERROR(__xludf.DUMMYFUNCTION("""COMPUTED_VALUE"""),"")</f>
        <v/>
      </c>
      <c r="E656" s="2" t="str">
        <f>IFERROR(__xludf.DUMMYFUNCTION("""COMPUTED_VALUE"""),"")</f>
        <v/>
      </c>
    </row>
    <row r="657">
      <c r="A657" s="2"/>
      <c r="B657" s="2"/>
      <c r="C657" s="2" t="str">
        <f t="shared" si="1"/>
        <v> </v>
      </c>
      <c r="D657" s="2" t="str">
        <f>IFERROR(__xludf.DUMMYFUNCTION("""COMPUTED_VALUE"""),"")</f>
        <v/>
      </c>
      <c r="E657" s="2" t="str">
        <f>IFERROR(__xludf.DUMMYFUNCTION("""COMPUTED_VALUE"""),"")</f>
        <v/>
      </c>
    </row>
    <row r="658">
      <c r="A658" s="2"/>
      <c r="B658" s="2"/>
      <c r="C658" s="2" t="str">
        <f t="shared" si="1"/>
        <v> </v>
      </c>
      <c r="D658" s="2" t="str">
        <f>IFERROR(__xludf.DUMMYFUNCTION("""COMPUTED_VALUE"""),"")</f>
        <v/>
      </c>
      <c r="E658" s="2" t="str">
        <f>IFERROR(__xludf.DUMMYFUNCTION("""COMPUTED_VALUE"""),"")</f>
        <v/>
      </c>
    </row>
    <row r="659">
      <c r="A659" s="2"/>
      <c r="B659" s="2"/>
      <c r="C659" s="2" t="str">
        <f t="shared" si="1"/>
        <v> </v>
      </c>
      <c r="D659" s="2" t="str">
        <f>IFERROR(__xludf.DUMMYFUNCTION("""COMPUTED_VALUE"""),"")</f>
        <v/>
      </c>
      <c r="E659" s="2" t="str">
        <f>IFERROR(__xludf.DUMMYFUNCTION("""COMPUTED_VALUE"""),"")</f>
        <v/>
      </c>
    </row>
    <row r="660">
      <c r="A660" s="2"/>
      <c r="B660" s="2"/>
      <c r="C660" s="2" t="str">
        <f t="shared" si="1"/>
        <v> </v>
      </c>
      <c r="D660" s="2" t="str">
        <f>IFERROR(__xludf.DUMMYFUNCTION("""COMPUTED_VALUE"""),"")</f>
        <v/>
      </c>
      <c r="E660" s="2" t="str">
        <f>IFERROR(__xludf.DUMMYFUNCTION("""COMPUTED_VALUE"""),"")</f>
        <v/>
      </c>
    </row>
    <row r="661">
      <c r="A661" s="2"/>
      <c r="B661" s="2"/>
      <c r="C661" s="2" t="str">
        <f t="shared" si="1"/>
        <v> </v>
      </c>
      <c r="D661" s="2" t="str">
        <f>IFERROR(__xludf.DUMMYFUNCTION("""COMPUTED_VALUE"""),"")</f>
        <v/>
      </c>
      <c r="E661" s="2" t="str">
        <f>IFERROR(__xludf.DUMMYFUNCTION("""COMPUTED_VALUE"""),"")</f>
        <v/>
      </c>
    </row>
    <row r="662">
      <c r="A662" s="2"/>
      <c r="B662" s="2"/>
      <c r="C662" s="2" t="str">
        <f t="shared" si="1"/>
        <v> </v>
      </c>
      <c r="D662" s="2" t="str">
        <f>IFERROR(__xludf.DUMMYFUNCTION("""COMPUTED_VALUE"""),"")</f>
        <v/>
      </c>
      <c r="E662" s="2" t="str">
        <f>IFERROR(__xludf.DUMMYFUNCTION("""COMPUTED_VALUE"""),"")</f>
        <v/>
      </c>
    </row>
    <row r="663">
      <c r="A663" s="2"/>
      <c r="B663" s="2"/>
      <c r="C663" s="2" t="str">
        <f t="shared" si="1"/>
        <v> </v>
      </c>
      <c r="D663" s="2" t="str">
        <f>IFERROR(__xludf.DUMMYFUNCTION("""COMPUTED_VALUE"""),"")</f>
        <v/>
      </c>
      <c r="E663" s="2" t="str">
        <f>IFERROR(__xludf.DUMMYFUNCTION("""COMPUTED_VALUE"""),"")</f>
        <v/>
      </c>
    </row>
    <row r="664">
      <c r="A664" s="2"/>
      <c r="B664" s="2"/>
      <c r="C664" s="2" t="str">
        <f t="shared" si="1"/>
        <v> </v>
      </c>
      <c r="D664" s="2" t="str">
        <f>IFERROR(__xludf.DUMMYFUNCTION("""COMPUTED_VALUE"""),"")</f>
        <v/>
      </c>
      <c r="E664" s="2" t="str">
        <f>IFERROR(__xludf.DUMMYFUNCTION("""COMPUTED_VALUE"""),"")</f>
        <v/>
      </c>
    </row>
    <row r="665">
      <c r="A665" s="2"/>
      <c r="B665" s="2"/>
      <c r="C665" s="2" t="str">
        <f t="shared" si="1"/>
        <v> </v>
      </c>
      <c r="D665" s="2" t="str">
        <f>IFERROR(__xludf.DUMMYFUNCTION("""COMPUTED_VALUE"""),"")</f>
        <v/>
      </c>
      <c r="E665" s="2" t="str">
        <f>IFERROR(__xludf.DUMMYFUNCTION("""COMPUTED_VALUE"""),"")</f>
        <v/>
      </c>
    </row>
    <row r="666">
      <c r="A666" s="2"/>
      <c r="B666" s="2"/>
      <c r="C666" s="2" t="str">
        <f t="shared" si="1"/>
        <v> </v>
      </c>
      <c r="D666" s="2" t="str">
        <f>IFERROR(__xludf.DUMMYFUNCTION("""COMPUTED_VALUE"""),"")</f>
        <v/>
      </c>
      <c r="E666" s="2" t="str">
        <f>IFERROR(__xludf.DUMMYFUNCTION("""COMPUTED_VALUE"""),"")</f>
        <v/>
      </c>
    </row>
    <row r="667">
      <c r="A667" s="2"/>
      <c r="B667" s="2"/>
      <c r="C667" s="2" t="str">
        <f t="shared" si="1"/>
        <v> </v>
      </c>
      <c r="D667" s="2" t="str">
        <f>IFERROR(__xludf.DUMMYFUNCTION("""COMPUTED_VALUE"""),"")</f>
        <v/>
      </c>
      <c r="E667" s="2" t="str">
        <f>IFERROR(__xludf.DUMMYFUNCTION("""COMPUTED_VALUE"""),"")</f>
        <v/>
      </c>
    </row>
    <row r="668">
      <c r="A668" s="2"/>
      <c r="B668" s="2"/>
      <c r="C668" s="2" t="str">
        <f t="shared" si="1"/>
        <v> </v>
      </c>
      <c r="D668" s="2" t="str">
        <f>IFERROR(__xludf.DUMMYFUNCTION("""COMPUTED_VALUE"""),"")</f>
        <v/>
      </c>
      <c r="E668" s="2" t="str">
        <f>IFERROR(__xludf.DUMMYFUNCTION("""COMPUTED_VALUE"""),"")</f>
        <v/>
      </c>
    </row>
    <row r="669">
      <c r="A669" s="2"/>
      <c r="B669" s="2"/>
      <c r="C669" s="2" t="str">
        <f t="shared" si="1"/>
        <v> </v>
      </c>
      <c r="D669" s="2" t="str">
        <f>IFERROR(__xludf.DUMMYFUNCTION("""COMPUTED_VALUE"""),"")</f>
        <v/>
      </c>
      <c r="E669" s="2" t="str">
        <f>IFERROR(__xludf.DUMMYFUNCTION("""COMPUTED_VALUE"""),"")</f>
        <v/>
      </c>
    </row>
    <row r="670">
      <c r="A670" s="2"/>
      <c r="B670" s="2"/>
      <c r="C670" s="2" t="str">
        <f t="shared" si="1"/>
        <v> </v>
      </c>
      <c r="D670" s="2" t="str">
        <f>IFERROR(__xludf.DUMMYFUNCTION("""COMPUTED_VALUE"""),"")</f>
        <v/>
      </c>
      <c r="E670" s="2" t="str">
        <f>IFERROR(__xludf.DUMMYFUNCTION("""COMPUTED_VALUE"""),"")</f>
        <v/>
      </c>
    </row>
    <row r="671">
      <c r="A671" s="2"/>
      <c r="B671" s="2"/>
      <c r="C671" s="2" t="str">
        <f t="shared" si="1"/>
        <v> </v>
      </c>
      <c r="D671" s="2" t="str">
        <f>IFERROR(__xludf.DUMMYFUNCTION("""COMPUTED_VALUE"""),"")</f>
        <v/>
      </c>
      <c r="E671" s="2" t="str">
        <f>IFERROR(__xludf.DUMMYFUNCTION("""COMPUTED_VALUE"""),"")</f>
        <v/>
      </c>
    </row>
    <row r="672">
      <c r="A672" s="2"/>
      <c r="B672" s="2"/>
      <c r="C672" s="2" t="str">
        <f t="shared" si="1"/>
        <v> </v>
      </c>
      <c r="D672" s="2" t="str">
        <f>IFERROR(__xludf.DUMMYFUNCTION("""COMPUTED_VALUE"""),"")</f>
        <v/>
      </c>
      <c r="E672" s="2" t="str">
        <f>IFERROR(__xludf.DUMMYFUNCTION("""COMPUTED_VALUE"""),"")</f>
        <v/>
      </c>
    </row>
    <row r="673">
      <c r="A673" s="2"/>
      <c r="B673" s="2"/>
      <c r="C673" s="2" t="str">
        <f t="shared" si="1"/>
        <v> </v>
      </c>
      <c r="D673" s="2" t="str">
        <f>IFERROR(__xludf.DUMMYFUNCTION("""COMPUTED_VALUE"""),"")</f>
        <v/>
      </c>
      <c r="E673" s="2" t="str">
        <f>IFERROR(__xludf.DUMMYFUNCTION("""COMPUTED_VALUE"""),"")</f>
        <v/>
      </c>
    </row>
    <row r="674">
      <c r="A674" s="2"/>
      <c r="B674" s="2"/>
      <c r="C674" s="2" t="str">
        <f t="shared" si="1"/>
        <v> </v>
      </c>
      <c r="D674" s="2" t="str">
        <f>IFERROR(__xludf.DUMMYFUNCTION("""COMPUTED_VALUE"""),"")</f>
        <v/>
      </c>
      <c r="E674" s="2" t="str">
        <f>IFERROR(__xludf.DUMMYFUNCTION("""COMPUTED_VALUE"""),"")</f>
        <v/>
      </c>
    </row>
    <row r="675">
      <c r="A675" s="2"/>
      <c r="B675" s="2"/>
      <c r="C675" s="2" t="str">
        <f t="shared" si="1"/>
        <v> </v>
      </c>
      <c r="D675" s="2" t="str">
        <f>IFERROR(__xludf.DUMMYFUNCTION("""COMPUTED_VALUE"""),"")</f>
        <v/>
      </c>
      <c r="E675" s="2" t="str">
        <f>IFERROR(__xludf.DUMMYFUNCTION("""COMPUTED_VALUE"""),"")</f>
        <v/>
      </c>
    </row>
    <row r="676">
      <c r="A676" s="2"/>
      <c r="B676" s="2"/>
      <c r="C676" s="2" t="str">
        <f t="shared" si="1"/>
        <v> </v>
      </c>
      <c r="D676" s="2" t="str">
        <f>IFERROR(__xludf.DUMMYFUNCTION("""COMPUTED_VALUE"""),"")</f>
        <v/>
      </c>
      <c r="E676" s="2" t="str">
        <f>IFERROR(__xludf.DUMMYFUNCTION("""COMPUTED_VALUE"""),"")</f>
        <v/>
      </c>
    </row>
    <row r="677">
      <c r="A677" s="2"/>
      <c r="B677" s="2"/>
      <c r="C677" s="2" t="str">
        <f t="shared" si="1"/>
        <v> </v>
      </c>
      <c r="D677" s="2" t="str">
        <f>IFERROR(__xludf.DUMMYFUNCTION("""COMPUTED_VALUE"""),"")</f>
        <v/>
      </c>
      <c r="E677" s="2" t="str">
        <f>IFERROR(__xludf.DUMMYFUNCTION("""COMPUTED_VALUE"""),"")</f>
        <v/>
      </c>
    </row>
    <row r="678">
      <c r="A678" s="2"/>
      <c r="B678" s="2"/>
      <c r="C678" s="2" t="str">
        <f t="shared" si="1"/>
        <v> </v>
      </c>
      <c r="D678" s="2" t="str">
        <f>IFERROR(__xludf.DUMMYFUNCTION("""COMPUTED_VALUE"""),"")</f>
        <v/>
      </c>
      <c r="E678" s="2" t="str">
        <f>IFERROR(__xludf.DUMMYFUNCTION("""COMPUTED_VALUE"""),"")</f>
        <v/>
      </c>
    </row>
    <row r="679">
      <c r="A679" s="2"/>
      <c r="B679" s="2"/>
      <c r="C679" s="2" t="str">
        <f t="shared" si="1"/>
        <v> </v>
      </c>
      <c r="D679" s="2" t="str">
        <f>IFERROR(__xludf.DUMMYFUNCTION("""COMPUTED_VALUE"""),"")</f>
        <v/>
      </c>
      <c r="E679" s="2" t="str">
        <f>IFERROR(__xludf.DUMMYFUNCTION("""COMPUTED_VALUE"""),"")</f>
        <v/>
      </c>
    </row>
    <row r="680">
      <c r="A680" s="2"/>
      <c r="B680" s="2"/>
      <c r="C680" s="2" t="str">
        <f t="shared" si="1"/>
        <v> </v>
      </c>
      <c r="D680" s="2" t="str">
        <f>IFERROR(__xludf.DUMMYFUNCTION("""COMPUTED_VALUE"""),"")</f>
        <v/>
      </c>
      <c r="E680" s="2" t="str">
        <f>IFERROR(__xludf.DUMMYFUNCTION("""COMPUTED_VALUE"""),"")</f>
        <v/>
      </c>
    </row>
    <row r="681">
      <c r="A681" s="2"/>
      <c r="B681" s="2"/>
      <c r="C681" s="2" t="str">
        <f t="shared" si="1"/>
        <v> </v>
      </c>
      <c r="D681" s="2" t="str">
        <f>IFERROR(__xludf.DUMMYFUNCTION("""COMPUTED_VALUE"""),"")</f>
        <v/>
      </c>
      <c r="E681" s="2" t="str">
        <f>IFERROR(__xludf.DUMMYFUNCTION("""COMPUTED_VALUE"""),"")</f>
        <v/>
      </c>
    </row>
    <row r="682">
      <c r="A682" s="2"/>
      <c r="B682" s="2"/>
      <c r="C682" s="2" t="str">
        <f t="shared" si="1"/>
        <v> </v>
      </c>
      <c r="D682" s="2" t="str">
        <f>IFERROR(__xludf.DUMMYFUNCTION("""COMPUTED_VALUE"""),"")</f>
        <v/>
      </c>
      <c r="E682" s="2" t="str">
        <f>IFERROR(__xludf.DUMMYFUNCTION("""COMPUTED_VALUE"""),"")</f>
        <v/>
      </c>
    </row>
    <row r="683">
      <c r="A683" s="2"/>
      <c r="B683" s="2"/>
      <c r="C683" s="2" t="str">
        <f t="shared" si="1"/>
        <v> </v>
      </c>
      <c r="D683" s="2" t="str">
        <f>IFERROR(__xludf.DUMMYFUNCTION("""COMPUTED_VALUE"""),"")</f>
        <v/>
      </c>
      <c r="E683" s="2" t="str">
        <f>IFERROR(__xludf.DUMMYFUNCTION("""COMPUTED_VALUE"""),"")</f>
        <v/>
      </c>
    </row>
    <row r="684">
      <c r="A684" s="2"/>
      <c r="B684" s="2"/>
      <c r="C684" s="2" t="str">
        <f t="shared" si="1"/>
        <v> </v>
      </c>
      <c r="D684" s="2" t="str">
        <f>IFERROR(__xludf.DUMMYFUNCTION("""COMPUTED_VALUE"""),"")</f>
        <v/>
      </c>
      <c r="E684" s="2" t="str">
        <f>IFERROR(__xludf.DUMMYFUNCTION("""COMPUTED_VALUE"""),"")</f>
        <v/>
      </c>
    </row>
    <row r="685">
      <c r="A685" s="2"/>
      <c r="B685" s="2"/>
      <c r="C685" s="2" t="str">
        <f t="shared" si="1"/>
        <v> </v>
      </c>
      <c r="D685" s="2" t="str">
        <f>IFERROR(__xludf.DUMMYFUNCTION("""COMPUTED_VALUE"""),"")</f>
        <v/>
      </c>
      <c r="E685" s="2" t="str">
        <f>IFERROR(__xludf.DUMMYFUNCTION("""COMPUTED_VALUE"""),"")</f>
        <v/>
      </c>
    </row>
    <row r="686">
      <c r="A686" s="2"/>
      <c r="B686" s="2"/>
      <c r="C686" s="2" t="str">
        <f t="shared" si="1"/>
        <v> </v>
      </c>
      <c r="D686" s="2" t="str">
        <f>IFERROR(__xludf.DUMMYFUNCTION("""COMPUTED_VALUE"""),"")</f>
        <v/>
      </c>
      <c r="E686" s="2" t="str">
        <f>IFERROR(__xludf.DUMMYFUNCTION("""COMPUTED_VALUE"""),"")</f>
        <v/>
      </c>
    </row>
    <row r="687">
      <c r="A687" s="2"/>
      <c r="B687" s="2"/>
      <c r="C687" s="2" t="str">
        <f t="shared" si="1"/>
        <v> </v>
      </c>
      <c r="D687" s="2" t="str">
        <f>IFERROR(__xludf.DUMMYFUNCTION("""COMPUTED_VALUE"""),"")</f>
        <v/>
      </c>
      <c r="E687" s="2" t="str">
        <f>IFERROR(__xludf.DUMMYFUNCTION("""COMPUTED_VALUE"""),"")</f>
        <v/>
      </c>
    </row>
    <row r="688">
      <c r="A688" s="2"/>
      <c r="B688" s="2"/>
      <c r="C688" s="2" t="str">
        <f t="shared" si="1"/>
        <v> </v>
      </c>
      <c r="D688" s="2" t="str">
        <f>IFERROR(__xludf.DUMMYFUNCTION("""COMPUTED_VALUE"""),"")</f>
        <v/>
      </c>
      <c r="E688" s="2" t="str">
        <f>IFERROR(__xludf.DUMMYFUNCTION("""COMPUTED_VALUE"""),"")</f>
        <v/>
      </c>
    </row>
    <row r="689">
      <c r="A689" s="2"/>
      <c r="B689" s="2"/>
      <c r="C689" s="2" t="str">
        <f t="shared" si="1"/>
        <v> </v>
      </c>
      <c r="D689" s="2" t="str">
        <f>IFERROR(__xludf.DUMMYFUNCTION("""COMPUTED_VALUE"""),"")</f>
        <v/>
      </c>
      <c r="E689" s="2" t="str">
        <f>IFERROR(__xludf.DUMMYFUNCTION("""COMPUTED_VALUE"""),"")</f>
        <v/>
      </c>
    </row>
    <row r="690">
      <c r="A690" s="2"/>
      <c r="B690" s="2"/>
      <c r="C690" s="2" t="str">
        <f t="shared" si="1"/>
        <v> </v>
      </c>
      <c r="D690" s="2" t="str">
        <f>IFERROR(__xludf.DUMMYFUNCTION("""COMPUTED_VALUE"""),"")</f>
        <v/>
      </c>
      <c r="E690" s="2" t="str">
        <f>IFERROR(__xludf.DUMMYFUNCTION("""COMPUTED_VALUE"""),"")</f>
        <v/>
      </c>
    </row>
    <row r="691">
      <c r="A691" s="2"/>
      <c r="B691" s="2"/>
      <c r="C691" s="2" t="str">
        <f t="shared" si="1"/>
        <v> </v>
      </c>
      <c r="D691" s="2" t="str">
        <f>IFERROR(__xludf.DUMMYFUNCTION("""COMPUTED_VALUE"""),"")</f>
        <v/>
      </c>
      <c r="E691" s="2" t="str">
        <f>IFERROR(__xludf.DUMMYFUNCTION("""COMPUTED_VALUE"""),"")</f>
        <v/>
      </c>
    </row>
    <row r="692">
      <c r="A692" s="2"/>
      <c r="B692" s="2"/>
      <c r="C692" s="2" t="str">
        <f t="shared" si="1"/>
        <v> </v>
      </c>
      <c r="D692" s="2" t="str">
        <f>IFERROR(__xludf.DUMMYFUNCTION("""COMPUTED_VALUE"""),"")</f>
        <v/>
      </c>
      <c r="E692" s="2" t="str">
        <f>IFERROR(__xludf.DUMMYFUNCTION("""COMPUTED_VALUE"""),"")</f>
        <v/>
      </c>
    </row>
    <row r="693">
      <c r="A693" s="2"/>
      <c r="B693" s="2"/>
      <c r="C693" s="2" t="str">
        <f t="shared" si="1"/>
        <v> </v>
      </c>
      <c r="D693" s="2" t="str">
        <f>IFERROR(__xludf.DUMMYFUNCTION("""COMPUTED_VALUE"""),"")</f>
        <v/>
      </c>
      <c r="E693" s="2" t="str">
        <f>IFERROR(__xludf.DUMMYFUNCTION("""COMPUTED_VALUE"""),"")</f>
        <v/>
      </c>
    </row>
    <row r="694">
      <c r="A694" s="2"/>
      <c r="B694" s="2"/>
      <c r="C694" s="2" t="str">
        <f t="shared" si="1"/>
        <v> </v>
      </c>
      <c r="D694" s="2" t="str">
        <f>IFERROR(__xludf.DUMMYFUNCTION("""COMPUTED_VALUE"""),"")</f>
        <v/>
      </c>
      <c r="E694" s="2" t="str">
        <f>IFERROR(__xludf.DUMMYFUNCTION("""COMPUTED_VALUE"""),"")</f>
        <v/>
      </c>
    </row>
    <row r="695">
      <c r="A695" s="2"/>
      <c r="B695" s="2"/>
      <c r="C695" s="2" t="str">
        <f t="shared" si="1"/>
        <v> </v>
      </c>
      <c r="D695" s="2" t="str">
        <f>IFERROR(__xludf.DUMMYFUNCTION("""COMPUTED_VALUE"""),"")</f>
        <v/>
      </c>
      <c r="E695" s="2" t="str">
        <f>IFERROR(__xludf.DUMMYFUNCTION("""COMPUTED_VALUE"""),"")</f>
        <v/>
      </c>
    </row>
    <row r="696">
      <c r="A696" s="2"/>
      <c r="B696" s="2"/>
      <c r="C696" s="2" t="str">
        <f t="shared" si="1"/>
        <v> </v>
      </c>
      <c r="D696" s="2" t="str">
        <f>IFERROR(__xludf.DUMMYFUNCTION("""COMPUTED_VALUE"""),"")</f>
        <v/>
      </c>
      <c r="E696" s="2" t="str">
        <f>IFERROR(__xludf.DUMMYFUNCTION("""COMPUTED_VALUE"""),"")</f>
        <v/>
      </c>
    </row>
    <row r="697">
      <c r="A697" s="2"/>
      <c r="B697" s="2"/>
      <c r="C697" s="2" t="str">
        <f t="shared" si="1"/>
        <v> </v>
      </c>
      <c r="D697" s="2" t="str">
        <f>IFERROR(__xludf.DUMMYFUNCTION("""COMPUTED_VALUE"""),"")</f>
        <v/>
      </c>
      <c r="E697" s="2" t="str">
        <f>IFERROR(__xludf.DUMMYFUNCTION("""COMPUTED_VALUE"""),"")</f>
        <v/>
      </c>
    </row>
    <row r="698">
      <c r="A698" s="2"/>
      <c r="B698" s="2"/>
      <c r="C698" s="2" t="str">
        <f t="shared" si="1"/>
        <v> </v>
      </c>
      <c r="D698" s="2" t="str">
        <f>IFERROR(__xludf.DUMMYFUNCTION("""COMPUTED_VALUE"""),"")</f>
        <v/>
      </c>
      <c r="E698" s="2" t="str">
        <f>IFERROR(__xludf.DUMMYFUNCTION("""COMPUTED_VALUE"""),"")</f>
        <v/>
      </c>
    </row>
    <row r="699">
      <c r="A699" s="2"/>
      <c r="B699" s="2"/>
      <c r="C699" s="2" t="str">
        <f t="shared" si="1"/>
        <v> </v>
      </c>
      <c r="D699" s="2" t="str">
        <f>IFERROR(__xludf.DUMMYFUNCTION("""COMPUTED_VALUE"""),"")</f>
        <v/>
      </c>
      <c r="E699" s="2" t="str">
        <f>IFERROR(__xludf.DUMMYFUNCTION("""COMPUTED_VALUE"""),"")</f>
        <v/>
      </c>
    </row>
    <row r="700">
      <c r="A700" s="2"/>
      <c r="B700" s="2"/>
      <c r="C700" s="2" t="str">
        <f t="shared" si="1"/>
        <v> </v>
      </c>
      <c r="D700" s="2" t="str">
        <f>IFERROR(__xludf.DUMMYFUNCTION("""COMPUTED_VALUE"""),"")</f>
        <v/>
      </c>
      <c r="E700" s="2" t="str">
        <f>IFERROR(__xludf.DUMMYFUNCTION("""COMPUTED_VALUE"""),"")</f>
        <v/>
      </c>
    </row>
    <row r="701">
      <c r="A701" s="2"/>
      <c r="B701" s="2"/>
      <c r="C701" s="2" t="str">
        <f t="shared" si="1"/>
        <v> </v>
      </c>
      <c r="D701" s="2" t="str">
        <f>IFERROR(__xludf.DUMMYFUNCTION("""COMPUTED_VALUE"""),"")</f>
        <v/>
      </c>
      <c r="E701" s="2" t="str">
        <f>IFERROR(__xludf.DUMMYFUNCTION("""COMPUTED_VALUE"""),"")</f>
        <v/>
      </c>
    </row>
    <row r="702">
      <c r="A702" s="2"/>
      <c r="B702" s="2"/>
      <c r="C702" s="2" t="str">
        <f t="shared" si="1"/>
        <v> </v>
      </c>
      <c r="D702" s="2" t="str">
        <f>IFERROR(__xludf.DUMMYFUNCTION("""COMPUTED_VALUE"""),"")</f>
        <v/>
      </c>
      <c r="E702" s="2" t="str">
        <f>IFERROR(__xludf.DUMMYFUNCTION("""COMPUTED_VALUE"""),"")</f>
        <v/>
      </c>
    </row>
    <row r="703">
      <c r="A703" s="2"/>
      <c r="B703" s="2"/>
      <c r="C703" s="2" t="str">
        <f t="shared" si="1"/>
        <v> </v>
      </c>
      <c r="D703" s="2" t="str">
        <f>IFERROR(__xludf.DUMMYFUNCTION("""COMPUTED_VALUE"""),"")</f>
        <v/>
      </c>
      <c r="E703" s="2" t="str">
        <f>IFERROR(__xludf.DUMMYFUNCTION("""COMPUTED_VALUE"""),"")</f>
        <v/>
      </c>
    </row>
    <row r="704">
      <c r="A704" s="2"/>
      <c r="B704" s="2"/>
      <c r="C704" s="2" t="str">
        <f t="shared" si="1"/>
        <v> </v>
      </c>
      <c r="D704" s="2" t="str">
        <f>IFERROR(__xludf.DUMMYFUNCTION("""COMPUTED_VALUE"""),"")</f>
        <v/>
      </c>
      <c r="E704" s="2" t="str">
        <f>IFERROR(__xludf.DUMMYFUNCTION("""COMPUTED_VALUE"""),"")</f>
        <v/>
      </c>
    </row>
    <row r="705">
      <c r="A705" s="2"/>
      <c r="B705" s="2"/>
      <c r="C705" s="2" t="str">
        <f t="shared" si="1"/>
        <v> </v>
      </c>
      <c r="D705" s="2" t="str">
        <f>IFERROR(__xludf.DUMMYFUNCTION("""COMPUTED_VALUE"""),"")</f>
        <v/>
      </c>
      <c r="E705" s="2" t="str">
        <f>IFERROR(__xludf.DUMMYFUNCTION("""COMPUTED_VALUE"""),"")</f>
        <v/>
      </c>
    </row>
    <row r="706">
      <c r="A706" s="2"/>
      <c r="B706" s="2"/>
      <c r="C706" s="2" t="str">
        <f t="shared" si="1"/>
        <v> </v>
      </c>
      <c r="D706" s="2" t="str">
        <f>IFERROR(__xludf.DUMMYFUNCTION("""COMPUTED_VALUE"""),"")</f>
        <v/>
      </c>
      <c r="E706" s="2" t="str">
        <f>IFERROR(__xludf.DUMMYFUNCTION("""COMPUTED_VALUE"""),"")</f>
        <v/>
      </c>
    </row>
    <row r="707">
      <c r="A707" s="2"/>
      <c r="B707" s="2"/>
      <c r="C707" s="2" t="str">
        <f t="shared" si="1"/>
        <v> </v>
      </c>
      <c r="D707" s="2" t="str">
        <f>IFERROR(__xludf.DUMMYFUNCTION("""COMPUTED_VALUE"""),"")</f>
        <v/>
      </c>
      <c r="E707" s="2" t="str">
        <f>IFERROR(__xludf.DUMMYFUNCTION("""COMPUTED_VALUE"""),"")</f>
        <v/>
      </c>
    </row>
    <row r="708">
      <c r="A708" s="2"/>
      <c r="B708" s="2"/>
      <c r="C708" s="2" t="str">
        <f t="shared" si="1"/>
        <v> </v>
      </c>
      <c r="D708" s="2" t="str">
        <f>IFERROR(__xludf.DUMMYFUNCTION("""COMPUTED_VALUE"""),"")</f>
        <v/>
      </c>
      <c r="E708" s="2" t="str">
        <f>IFERROR(__xludf.DUMMYFUNCTION("""COMPUTED_VALUE"""),"")</f>
        <v/>
      </c>
    </row>
    <row r="709">
      <c r="A709" s="2"/>
      <c r="B709" s="2"/>
      <c r="C709" s="2" t="str">
        <f t="shared" si="1"/>
        <v> </v>
      </c>
      <c r="D709" s="2" t="str">
        <f>IFERROR(__xludf.DUMMYFUNCTION("""COMPUTED_VALUE"""),"")</f>
        <v/>
      </c>
      <c r="E709" s="2" t="str">
        <f>IFERROR(__xludf.DUMMYFUNCTION("""COMPUTED_VALUE"""),"")</f>
        <v/>
      </c>
    </row>
    <row r="710">
      <c r="A710" s="2"/>
      <c r="B710" s="2"/>
      <c r="C710" s="2" t="str">
        <f t="shared" si="1"/>
        <v> </v>
      </c>
      <c r="D710" s="2" t="str">
        <f>IFERROR(__xludf.DUMMYFUNCTION("""COMPUTED_VALUE"""),"")</f>
        <v/>
      </c>
      <c r="E710" s="2" t="str">
        <f>IFERROR(__xludf.DUMMYFUNCTION("""COMPUTED_VALUE"""),"")</f>
        <v/>
      </c>
    </row>
    <row r="711">
      <c r="A711" s="2"/>
      <c r="B711" s="2"/>
      <c r="C711" s="2" t="str">
        <f t="shared" si="1"/>
        <v> </v>
      </c>
      <c r="D711" s="2" t="str">
        <f>IFERROR(__xludf.DUMMYFUNCTION("""COMPUTED_VALUE"""),"")</f>
        <v/>
      </c>
      <c r="E711" s="2" t="str">
        <f>IFERROR(__xludf.DUMMYFUNCTION("""COMPUTED_VALUE"""),"")</f>
        <v/>
      </c>
    </row>
    <row r="712">
      <c r="A712" s="2"/>
      <c r="B712" s="2"/>
      <c r="C712" s="2" t="str">
        <f t="shared" si="1"/>
        <v> </v>
      </c>
      <c r="D712" s="2" t="str">
        <f>IFERROR(__xludf.DUMMYFUNCTION("""COMPUTED_VALUE"""),"")</f>
        <v/>
      </c>
      <c r="E712" s="2" t="str">
        <f>IFERROR(__xludf.DUMMYFUNCTION("""COMPUTED_VALUE"""),"")</f>
        <v/>
      </c>
    </row>
    <row r="713">
      <c r="A713" s="2"/>
      <c r="B713" s="2"/>
      <c r="C713" s="2" t="str">
        <f t="shared" si="1"/>
        <v> </v>
      </c>
      <c r="D713" s="2" t="str">
        <f>IFERROR(__xludf.DUMMYFUNCTION("""COMPUTED_VALUE"""),"")</f>
        <v/>
      </c>
      <c r="E713" s="2" t="str">
        <f>IFERROR(__xludf.DUMMYFUNCTION("""COMPUTED_VALUE"""),"")</f>
        <v/>
      </c>
    </row>
    <row r="714">
      <c r="A714" s="2"/>
      <c r="B714" s="2"/>
      <c r="C714" s="2" t="str">
        <f t="shared" si="1"/>
        <v> </v>
      </c>
      <c r="D714" s="2" t="str">
        <f>IFERROR(__xludf.DUMMYFUNCTION("""COMPUTED_VALUE"""),"")</f>
        <v/>
      </c>
      <c r="E714" s="2" t="str">
        <f>IFERROR(__xludf.DUMMYFUNCTION("""COMPUTED_VALUE"""),"")</f>
        <v/>
      </c>
    </row>
    <row r="715">
      <c r="A715" s="2"/>
      <c r="B715" s="2"/>
      <c r="C715" s="2" t="str">
        <f t="shared" si="1"/>
        <v> </v>
      </c>
      <c r="D715" s="2" t="str">
        <f>IFERROR(__xludf.DUMMYFUNCTION("""COMPUTED_VALUE"""),"")</f>
        <v/>
      </c>
      <c r="E715" s="2" t="str">
        <f>IFERROR(__xludf.DUMMYFUNCTION("""COMPUTED_VALUE"""),"")</f>
        <v/>
      </c>
    </row>
    <row r="716">
      <c r="A716" s="2"/>
      <c r="B716" s="2"/>
      <c r="C716" s="2" t="str">
        <f t="shared" si="1"/>
        <v> </v>
      </c>
      <c r="D716" s="2" t="str">
        <f>IFERROR(__xludf.DUMMYFUNCTION("""COMPUTED_VALUE"""),"")</f>
        <v/>
      </c>
      <c r="E716" s="2" t="str">
        <f>IFERROR(__xludf.DUMMYFUNCTION("""COMPUTED_VALUE"""),"")</f>
        <v/>
      </c>
    </row>
    <row r="717">
      <c r="A717" s="2"/>
      <c r="B717" s="2"/>
      <c r="C717" s="2" t="str">
        <f t="shared" si="1"/>
        <v> </v>
      </c>
      <c r="D717" s="2" t="str">
        <f>IFERROR(__xludf.DUMMYFUNCTION("""COMPUTED_VALUE"""),"")</f>
        <v/>
      </c>
      <c r="E717" s="2" t="str">
        <f>IFERROR(__xludf.DUMMYFUNCTION("""COMPUTED_VALUE"""),"")</f>
        <v/>
      </c>
    </row>
    <row r="718">
      <c r="A718" s="2"/>
      <c r="B718" s="2"/>
      <c r="C718" s="2" t="str">
        <f t="shared" si="1"/>
        <v> </v>
      </c>
      <c r="D718" s="2" t="str">
        <f>IFERROR(__xludf.DUMMYFUNCTION("""COMPUTED_VALUE"""),"")</f>
        <v/>
      </c>
      <c r="E718" s="2" t="str">
        <f>IFERROR(__xludf.DUMMYFUNCTION("""COMPUTED_VALUE"""),"")</f>
        <v/>
      </c>
    </row>
    <row r="719">
      <c r="A719" s="2"/>
      <c r="B719" s="2"/>
      <c r="C719" s="2" t="str">
        <f t="shared" si="1"/>
        <v> </v>
      </c>
      <c r="D719" s="2" t="str">
        <f>IFERROR(__xludf.DUMMYFUNCTION("""COMPUTED_VALUE"""),"")</f>
        <v/>
      </c>
      <c r="E719" s="2" t="str">
        <f>IFERROR(__xludf.DUMMYFUNCTION("""COMPUTED_VALUE"""),"")</f>
        <v/>
      </c>
    </row>
    <row r="720">
      <c r="A720" s="2"/>
      <c r="B720" s="2"/>
      <c r="C720" s="2" t="str">
        <f t="shared" si="1"/>
        <v> </v>
      </c>
      <c r="D720" s="2" t="str">
        <f>IFERROR(__xludf.DUMMYFUNCTION("""COMPUTED_VALUE"""),"")</f>
        <v/>
      </c>
      <c r="E720" s="2" t="str">
        <f>IFERROR(__xludf.DUMMYFUNCTION("""COMPUTED_VALUE"""),"")</f>
        <v/>
      </c>
    </row>
    <row r="721">
      <c r="A721" s="2"/>
      <c r="B721" s="2"/>
      <c r="C721" s="2" t="str">
        <f t="shared" si="1"/>
        <v> </v>
      </c>
      <c r="D721" s="2" t="str">
        <f>IFERROR(__xludf.DUMMYFUNCTION("""COMPUTED_VALUE"""),"")</f>
        <v/>
      </c>
      <c r="E721" s="2" t="str">
        <f>IFERROR(__xludf.DUMMYFUNCTION("""COMPUTED_VALUE"""),"")</f>
        <v/>
      </c>
    </row>
    <row r="722">
      <c r="A722" s="2"/>
      <c r="B722" s="2"/>
      <c r="C722" s="2" t="str">
        <f t="shared" si="1"/>
        <v> </v>
      </c>
      <c r="D722" s="2" t="str">
        <f>IFERROR(__xludf.DUMMYFUNCTION("""COMPUTED_VALUE"""),"")</f>
        <v/>
      </c>
      <c r="E722" s="2" t="str">
        <f>IFERROR(__xludf.DUMMYFUNCTION("""COMPUTED_VALUE"""),"")</f>
        <v/>
      </c>
    </row>
    <row r="723">
      <c r="A723" s="2"/>
      <c r="B723" s="2"/>
      <c r="C723" s="2" t="str">
        <f t="shared" si="1"/>
        <v> </v>
      </c>
      <c r="D723" s="2" t="str">
        <f>IFERROR(__xludf.DUMMYFUNCTION("""COMPUTED_VALUE"""),"")</f>
        <v/>
      </c>
      <c r="E723" s="2" t="str">
        <f>IFERROR(__xludf.DUMMYFUNCTION("""COMPUTED_VALUE"""),"")</f>
        <v/>
      </c>
    </row>
    <row r="724">
      <c r="A724" s="2"/>
      <c r="B724" s="2"/>
      <c r="C724" s="2" t="str">
        <f t="shared" si="1"/>
        <v> </v>
      </c>
      <c r="D724" s="2" t="str">
        <f>IFERROR(__xludf.DUMMYFUNCTION("""COMPUTED_VALUE"""),"")</f>
        <v/>
      </c>
      <c r="E724" s="2" t="str">
        <f>IFERROR(__xludf.DUMMYFUNCTION("""COMPUTED_VALUE"""),"")</f>
        <v/>
      </c>
    </row>
    <row r="725">
      <c r="A725" s="2"/>
      <c r="B725" s="2"/>
      <c r="C725" s="2" t="str">
        <f t="shared" si="1"/>
        <v> </v>
      </c>
      <c r="D725" s="2" t="str">
        <f>IFERROR(__xludf.DUMMYFUNCTION("""COMPUTED_VALUE"""),"")</f>
        <v/>
      </c>
      <c r="E725" s="2" t="str">
        <f>IFERROR(__xludf.DUMMYFUNCTION("""COMPUTED_VALUE"""),"")</f>
        <v/>
      </c>
    </row>
    <row r="726">
      <c r="A726" s="2"/>
      <c r="B726" s="2"/>
      <c r="C726" s="2" t="str">
        <f t="shared" si="1"/>
        <v> </v>
      </c>
      <c r="D726" s="2" t="str">
        <f>IFERROR(__xludf.DUMMYFUNCTION("""COMPUTED_VALUE"""),"")</f>
        <v/>
      </c>
      <c r="E726" s="2" t="str">
        <f>IFERROR(__xludf.DUMMYFUNCTION("""COMPUTED_VALUE"""),"")</f>
        <v/>
      </c>
    </row>
    <row r="727">
      <c r="A727" s="2"/>
      <c r="B727" s="2"/>
      <c r="C727" s="2" t="str">
        <f t="shared" si="1"/>
        <v> </v>
      </c>
      <c r="D727" s="2" t="str">
        <f>IFERROR(__xludf.DUMMYFUNCTION("""COMPUTED_VALUE"""),"")</f>
        <v/>
      </c>
      <c r="E727" s="2" t="str">
        <f>IFERROR(__xludf.DUMMYFUNCTION("""COMPUTED_VALUE"""),"")</f>
        <v/>
      </c>
    </row>
    <row r="728">
      <c r="A728" s="2"/>
      <c r="B728" s="2"/>
      <c r="C728" s="2" t="str">
        <f t="shared" si="1"/>
        <v> </v>
      </c>
      <c r="D728" s="2" t="str">
        <f>IFERROR(__xludf.DUMMYFUNCTION("""COMPUTED_VALUE"""),"")</f>
        <v/>
      </c>
      <c r="E728" s="2" t="str">
        <f>IFERROR(__xludf.DUMMYFUNCTION("""COMPUTED_VALUE"""),"")</f>
        <v/>
      </c>
    </row>
    <row r="729">
      <c r="A729" s="2"/>
      <c r="B729" s="2"/>
      <c r="C729" s="2" t="str">
        <f t="shared" si="1"/>
        <v> </v>
      </c>
      <c r="D729" s="2" t="str">
        <f>IFERROR(__xludf.DUMMYFUNCTION("""COMPUTED_VALUE"""),"")</f>
        <v/>
      </c>
      <c r="E729" s="2" t="str">
        <f>IFERROR(__xludf.DUMMYFUNCTION("""COMPUTED_VALUE"""),"")</f>
        <v/>
      </c>
    </row>
    <row r="730">
      <c r="A730" s="2"/>
      <c r="B730" s="2"/>
      <c r="C730" s="2" t="str">
        <f t="shared" si="1"/>
        <v> </v>
      </c>
      <c r="D730" s="2" t="str">
        <f>IFERROR(__xludf.DUMMYFUNCTION("""COMPUTED_VALUE"""),"")</f>
        <v/>
      </c>
      <c r="E730" s="2" t="str">
        <f>IFERROR(__xludf.DUMMYFUNCTION("""COMPUTED_VALUE"""),"")</f>
        <v/>
      </c>
    </row>
    <row r="731">
      <c r="A731" s="2"/>
      <c r="B731" s="2"/>
      <c r="C731" s="2" t="str">
        <f t="shared" si="1"/>
        <v> </v>
      </c>
      <c r="D731" s="2" t="str">
        <f>IFERROR(__xludf.DUMMYFUNCTION("""COMPUTED_VALUE"""),"")</f>
        <v/>
      </c>
      <c r="E731" s="2" t="str">
        <f>IFERROR(__xludf.DUMMYFUNCTION("""COMPUTED_VALUE"""),"")</f>
        <v/>
      </c>
    </row>
    <row r="732">
      <c r="A732" s="2"/>
      <c r="B732" s="2"/>
      <c r="C732" s="2" t="str">
        <f t="shared" si="1"/>
        <v> </v>
      </c>
      <c r="D732" s="2" t="str">
        <f>IFERROR(__xludf.DUMMYFUNCTION("""COMPUTED_VALUE"""),"")</f>
        <v/>
      </c>
      <c r="E732" s="2" t="str">
        <f>IFERROR(__xludf.DUMMYFUNCTION("""COMPUTED_VALUE"""),"")</f>
        <v/>
      </c>
    </row>
    <row r="733">
      <c r="A733" s="2"/>
      <c r="B733" s="2"/>
      <c r="C733" s="2" t="str">
        <f t="shared" si="1"/>
        <v> </v>
      </c>
      <c r="D733" s="2" t="str">
        <f>IFERROR(__xludf.DUMMYFUNCTION("""COMPUTED_VALUE"""),"")</f>
        <v/>
      </c>
      <c r="E733" s="2" t="str">
        <f>IFERROR(__xludf.DUMMYFUNCTION("""COMPUTED_VALUE"""),"")</f>
        <v/>
      </c>
    </row>
    <row r="734">
      <c r="A734" s="2"/>
      <c r="B734" s="2"/>
      <c r="C734" s="2" t="str">
        <f t="shared" si="1"/>
        <v> </v>
      </c>
      <c r="D734" s="2" t="str">
        <f>IFERROR(__xludf.DUMMYFUNCTION("""COMPUTED_VALUE"""),"")</f>
        <v/>
      </c>
      <c r="E734" s="2" t="str">
        <f>IFERROR(__xludf.DUMMYFUNCTION("""COMPUTED_VALUE"""),"")</f>
        <v/>
      </c>
    </row>
    <row r="735">
      <c r="A735" s="2"/>
      <c r="B735" s="2"/>
      <c r="C735" s="2" t="str">
        <f t="shared" si="1"/>
        <v> </v>
      </c>
      <c r="D735" s="2" t="str">
        <f>IFERROR(__xludf.DUMMYFUNCTION("""COMPUTED_VALUE"""),"")</f>
        <v/>
      </c>
      <c r="E735" s="2" t="str">
        <f>IFERROR(__xludf.DUMMYFUNCTION("""COMPUTED_VALUE"""),"")</f>
        <v/>
      </c>
    </row>
    <row r="736">
      <c r="A736" s="2"/>
      <c r="B736" s="2"/>
      <c r="C736" s="2" t="str">
        <f t="shared" si="1"/>
        <v> </v>
      </c>
      <c r="D736" s="2" t="str">
        <f>IFERROR(__xludf.DUMMYFUNCTION("""COMPUTED_VALUE"""),"")</f>
        <v/>
      </c>
      <c r="E736" s="2" t="str">
        <f>IFERROR(__xludf.DUMMYFUNCTION("""COMPUTED_VALUE"""),"")</f>
        <v/>
      </c>
    </row>
    <row r="737">
      <c r="A737" s="2"/>
      <c r="B737" s="2"/>
      <c r="C737" s="2" t="str">
        <f t="shared" si="1"/>
        <v> </v>
      </c>
      <c r="D737" s="2" t="str">
        <f>IFERROR(__xludf.DUMMYFUNCTION("""COMPUTED_VALUE"""),"")</f>
        <v/>
      </c>
      <c r="E737" s="2" t="str">
        <f>IFERROR(__xludf.DUMMYFUNCTION("""COMPUTED_VALUE"""),"")</f>
        <v/>
      </c>
    </row>
    <row r="738">
      <c r="A738" s="2"/>
      <c r="B738" s="2"/>
      <c r="C738" s="2" t="str">
        <f t="shared" si="1"/>
        <v> </v>
      </c>
      <c r="D738" s="2" t="str">
        <f>IFERROR(__xludf.DUMMYFUNCTION("""COMPUTED_VALUE"""),"")</f>
        <v/>
      </c>
      <c r="E738" s="2" t="str">
        <f>IFERROR(__xludf.DUMMYFUNCTION("""COMPUTED_VALUE"""),"")</f>
        <v/>
      </c>
    </row>
    <row r="739">
      <c r="A739" s="2"/>
      <c r="B739" s="2"/>
      <c r="C739" s="2" t="str">
        <f t="shared" si="1"/>
        <v> </v>
      </c>
      <c r="D739" s="2" t="str">
        <f>IFERROR(__xludf.DUMMYFUNCTION("""COMPUTED_VALUE"""),"")</f>
        <v/>
      </c>
      <c r="E739" s="2" t="str">
        <f>IFERROR(__xludf.DUMMYFUNCTION("""COMPUTED_VALUE"""),"")</f>
        <v/>
      </c>
    </row>
    <row r="740">
      <c r="A740" s="2"/>
      <c r="B740" s="2"/>
      <c r="C740" s="2" t="str">
        <f t="shared" si="1"/>
        <v> </v>
      </c>
      <c r="D740" s="2" t="str">
        <f>IFERROR(__xludf.DUMMYFUNCTION("""COMPUTED_VALUE"""),"")</f>
        <v/>
      </c>
      <c r="E740" s="2" t="str">
        <f>IFERROR(__xludf.DUMMYFUNCTION("""COMPUTED_VALUE"""),"")</f>
        <v/>
      </c>
    </row>
    <row r="741">
      <c r="A741" s="2"/>
      <c r="B741" s="2"/>
      <c r="C741" s="2" t="str">
        <f t="shared" si="1"/>
        <v> </v>
      </c>
      <c r="D741" s="2" t="str">
        <f>IFERROR(__xludf.DUMMYFUNCTION("""COMPUTED_VALUE"""),"")</f>
        <v/>
      </c>
      <c r="E741" s="2" t="str">
        <f>IFERROR(__xludf.DUMMYFUNCTION("""COMPUTED_VALUE"""),"")</f>
        <v/>
      </c>
    </row>
    <row r="742">
      <c r="A742" s="2"/>
      <c r="B742" s="2"/>
      <c r="C742" s="2" t="str">
        <f t="shared" si="1"/>
        <v> </v>
      </c>
      <c r="D742" s="2" t="str">
        <f>IFERROR(__xludf.DUMMYFUNCTION("""COMPUTED_VALUE"""),"")</f>
        <v/>
      </c>
      <c r="E742" s="2" t="str">
        <f>IFERROR(__xludf.DUMMYFUNCTION("""COMPUTED_VALUE"""),"")</f>
        <v/>
      </c>
    </row>
    <row r="743">
      <c r="A743" s="2"/>
      <c r="B743" s="2"/>
      <c r="C743" s="2" t="str">
        <f t="shared" si="1"/>
        <v> </v>
      </c>
      <c r="D743" s="2" t="str">
        <f>IFERROR(__xludf.DUMMYFUNCTION("""COMPUTED_VALUE"""),"")</f>
        <v/>
      </c>
      <c r="E743" s="2" t="str">
        <f>IFERROR(__xludf.DUMMYFUNCTION("""COMPUTED_VALUE"""),"")</f>
        <v/>
      </c>
    </row>
    <row r="744">
      <c r="A744" s="2"/>
      <c r="B744" s="2"/>
      <c r="C744" s="2" t="str">
        <f t="shared" si="1"/>
        <v> </v>
      </c>
      <c r="D744" s="2" t="str">
        <f>IFERROR(__xludf.DUMMYFUNCTION("""COMPUTED_VALUE"""),"")</f>
        <v/>
      </c>
      <c r="E744" s="2" t="str">
        <f>IFERROR(__xludf.DUMMYFUNCTION("""COMPUTED_VALUE"""),"")</f>
        <v/>
      </c>
    </row>
    <row r="745">
      <c r="A745" s="2"/>
      <c r="B745" s="2"/>
      <c r="C745" s="2" t="str">
        <f t="shared" si="1"/>
        <v> </v>
      </c>
      <c r="D745" s="2" t="str">
        <f>IFERROR(__xludf.DUMMYFUNCTION("""COMPUTED_VALUE"""),"")</f>
        <v/>
      </c>
      <c r="E745" s="2" t="str">
        <f>IFERROR(__xludf.DUMMYFUNCTION("""COMPUTED_VALUE"""),"")</f>
        <v/>
      </c>
    </row>
    <row r="746">
      <c r="A746" s="2"/>
      <c r="B746" s="2"/>
      <c r="C746" s="2" t="str">
        <f t="shared" si="1"/>
        <v> </v>
      </c>
      <c r="D746" s="2" t="str">
        <f>IFERROR(__xludf.DUMMYFUNCTION("""COMPUTED_VALUE"""),"")</f>
        <v/>
      </c>
      <c r="E746" s="2" t="str">
        <f>IFERROR(__xludf.DUMMYFUNCTION("""COMPUTED_VALUE"""),"")</f>
        <v/>
      </c>
    </row>
    <row r="747">
      <c r="A747" s="2"/>
      <c r="B747" s="2"/>
      <c r="C747" s="2" t="str">
        <f t="shared" si="1"/>
        <v> </v>
      </c>
      <c r="D747" s="2" t="str">
        <f>IFERROR(__xludf.DUMMYFUNCTION("""COMPUTED_VALUE"""),"")</f>
        <v/>
      </c>
      <c r="E747" s="2" t="str">
        <f>IFERROR(__xludf.DUMMYFUNCTION("""COMPUTED_VALUE"""),"")</f>
        <v/>
      </c>
    </row>
    <row r="748">
      <c r="A748" s="2"/>
      <c r="B748" s="2"/>
      <c r="C748" s="2" t="str">
        <f t="shared" si="1"/>
        <v> </v>
      </c>
      <c r="D748" s="2" t="str">
        <f>IFERROR(__xludf.DUMMYFUNCTION("""COMPUTED_VALUE"""),"")</f>
        <v/>
      </c>
      <c r="E748" s="2" t="str">
        <f>IFERROR(__xludf.DUMMYFUNCTION("""COMPUTED_VALUE"""),"")</f>
        <v/>
      </c>
    </row>
    <row r="749">
      <c r="A749" s="2"/>
      <c r="B749" s="2"/>
      <c r="C749" s="2" t="str">
        <f t="shared" si="1"/>
        <v> </v>
      </c>
      <c r="D749" s="2" t="str">
        <f>IFERROR(__xludf.DUMMYFUNCTION("""COMPUTED_VALUE"""),"")</f>
        <v/>
      </c>
      <c r="E749" s="2" t="str">
        <f>IFERROR(__xludf.DUMMYFUNCTION("""COMPUTED_VALUE"""),"")</f>
        <v/>
      </c>
    </row>
    <row r="750">
      <c r="A750" s="2"/>
      <c r="B750" s="2"/>
      <c r="C750" s="2" t="str">
        <f t="shared" si="1"/>
        <v> </v>
      </c>
      <c r="D750" s="2" t="str">
        <f>IFERROR(__xludf.DUMMYFUNCTION("""COMPUTED_VALUE"""),"")</f>
        <v/>
      </c>
      <c r="E750" s="2" t="str">
        <f>IFERROR(__xludf.DUMMYFUNCTION("""COMPUTED_VALUE"""),"")</f>
        <v/>
      </c>
    </row>
    <row r="751">
      <c r="A751" s="2"/>
      <c r="B751" s="2"/>
      <c r="C751" s="2" t="str">
        <f t="shared" si="1"/>
        <v> </v>
      </c>
      <c r="D751" s="2" t="str">
        <f>IFERROR(__xludf.DUMMYFUNCTION("""COMPUTED_VALUE"""),"")</f>
        <v/>
      </c>
      <c r="E751" s="2" t="str">
        <f>IFERROR(__xludf.DUMMYFUNCTION("""COMPUTED_VALUE"""),"")</f>
        <v/>
      </c>
    </row>
    <row r="752">
      <c r="A752" s="2"/>
      <c r="B752" s="2"/>
      <c r="C752" s="2" t="str">
        <f t="shared" si="1"/>
        <v> </v>
      </c>
      <c r="D752" s="2" t="str">
        <f>IFERROR(__xludf.DUMMYFUNCTION("""COMPUTED_VALUE"""),"")</f>
        <v/>
      </c>
      <c r="E752" s="2" t="str">
        <f>IFERROR(__xludf.DUMMYFUNCTION("""COMPUTED_VALUE"""),"")</f>
        <v/>
      </c>
    </row>
    <row r="753">
      <c r="A753" s="2"/>
      <c r="B753" s="2"/>
      <c r="C753" s="2" t="str">
        <f t="shared" si="1"/>
        <v> </v>
      </c>
      <c r="D753" s="2" t="str">
        <f>IFERROR(__xludf.DUMMYFUNCTION("""COMPUTED_VALUE"""),"")</f>
        <v/>
      </c>
      <c r="E753" s="2" t="str">
        <f>IFERROR(__xludf.DUMMYFUNCTION("""COMPUTED_VALUE"""),"")</f>
        <v/>
      </c>
    </row>
    <row r="754">
      <c r="A754" s="2"/>
      <c r="B754" s="2"/>
      <c r="C754" s="2" t="str">
        <f t="shared" si="1"/>
        <v> </v>
      </c>
      <c r="D754" s="2" t="str">
        <f>IFERROR(__xludf.DUMMYFUNCTION("""COMPUTED_VALUE"""),"")</f>
        <v/>
      </c>
      <c r="E754" s="2" t="str">
        <f>IFERROR(__xludf.DUMMYFUNCTION("""COMPUTED_VALUE"""),"")</f>
        <v/>
      </c>
    </row>
    <row r="755">
      <c r="A755" s="2"/>
      <c r="B755" s="2"/>
      <c r="C755" s="2" t="str">
        <f t="shared" si="1"/>
        <v> </v>
      </c>
      <c r="D755" s="2" t="str">
        <f>IFERROR(__xludf.DUMMYFUNCTION("""COMPUTED_VALUE"""),"")</f>
        <v/>
      </c>
      <c r="E755" s="2" t="str">
        <f>IFERROR(__xludf.DUMMYFUNCTION("""COMPUTED_VALUE"""),"")</f>
        <v/>
      </c>
    </row>
    <row r="756">
      <c r="A756" s="2"/>
      <c r="B756" s="2"/>
      <c r="C756" s="2" t="str">
        <f t="shared" si="1"/>
        <v> </v>
      </c>
      <c r="D756" s="2" t="str">
        <f>IFERROR(__xludf.DUMMYFUNCTION("""COMPUTED_VALUE"""),"")</f>
        <v/>
      </c>
      <c r="E756" s="2" t="str">
        <f>IFERROR(__xludf.DUMMYFUNCTION("""COMPUTED_VALUE"""),"")</f>
        <v/>
      </c>
    </row>
    <row r="757">
      <c r="A757" s="2"/>
      <c r="B757" s="2"/>
      <c r="C757" s="2" t="str">
        <f t="shared" si="1"/>
        <v> </v>
      </c>
      <c r="D757" s="2" t="str">
        <f>IFERROR(__xludf.DUMMYFUNCTION("""COMPUTED_VALUE"""),"")</f>
        <v/>
      </c>
      <c r="E757" s="2" t="str">
        <f>IFERROR(__xludf.DUMMYFUNCTION("""COMPUTED_VALUE"""),"")</f>
        <v/>
      </c>
    </row>
    <row r="758">
      <c r="A758" s="2"/>
      <c r="B758" s="2"/>
      <c r="C758" s="2" t="str">
        <f t="shared" si="1"/>
        <v> </v>
      </c>
      <c r="D758" s="2" t="str">
        <f>IFERROR(__xludf.DUMMYFUNCTION("""COMPUTED_VALUE"""),"")</f>
        <v/>
      </c>
      <c r="E758" s="2" t="str">
        <f>IFERROR(__xludf.DUMMYFUNCTION("""COMPUTED_VALUE"""),"")</f>
        <v/>
      </c>
    </row>
    <row r="759">
      <c r="A759" s="2"/>
      <c r="B759" s="2"/>
      <c r="C759" s="2" t="str">
        <f t="shared" si="1"/>
        <v> </v>
      </c>
      <c r="D759" s="2" t="str">
        <f>IFERROR(__xludf.DUMMYFUNCTION("""COMPUTED_VALUE"""),"")</f>
        <v/>
      </c>
      <c r="E759" s="2" t="str">
        <f>IFERROR(__xludf.DUMMYFUNCTION("""COMPUTED_VALUE"""),"")</f>
        <v/>
      </c>
    </row>
    <row r="760">
      <c r="A760" s="2"/>
      <c r="B760" s="2"/>
      <c r="C760" s="2" t="str">
        <f t="shared" si="1"/>
        <v> </v>
      </c>
      <c r="D760" s="2" t="str">
        <f>IFERROR(__xludf.DUMMYFUNCTION("""COMPUTED_VALUE"""),"")</f>
        <v/>
      </c>
      <c r="E760" s="2" t="str">
        <f>IFERROR(__xludf.DUMMYFUNCTION("""COMPUTED_VALUE"""),"")</f>
        <v/>
      </c>
    </row>
    <row r="761">
      <c r="A761" s="2"/>
      <c r="B761" s="2"/>
      <c r="C761" s="2" t="str">
        <f t="shared" si="1"/>
        <v> </v>
      </c>
      <c r="D761" s="2" t="str">
        <f>IFERROR(__xludf.DUMMYFUNCTION("""COMPUTED_VALUE"""),"")</f>
        <v/>
      </c>
      <c r="E761" s="2" t="str">
        <f>IFERROR(__xludf.DUMMYFUNCTION("""COMPUTED_VALUE"""),"")</f>
        <v/>
      </c>
    </row>
    <row r="762">
      <c r="A762" s="2"/>
      <c r="B762" s="2"/>
      <c r="C762" s="2" t="str">
        <f t="shared" si="1"/>
        <v> </v>
      </c>
      <c r="D762" s="2" t="str">
        <f>IFERROR(__xludf.DUMMYFUNCTION("""COMPUTED_VALUE"""),"")</f>
        <v/>
      </c>
      <c r="E762" s="2" t="str">
        <f>IFERROR(__xludf.DUMMYFUNCTION("""COMPUTED_VALUE"""),"")</f>
        <v/>
      </c>
    </row>
    <row r="763">
      <c r="A763" s="2"/>
      <c r="B763" s="2"/>
      <c r="C763" s="2" t="str">
        <f t="shared" si="1"/>
        <v> </v>
      </c>
      <c r="D763" s="2" t="str">
        <f>IFERROR(__xludf.DUMMYFUNCTION("""COMPUTED_VALUE"""),"")</f>
        <v/>
      </c>
      <c r="E763" s="2" t="str">
        <f>IFERROR(__xludf.DUMMYFUNCTION("""COMPUTED_VALUE"""),"")</f>
        <v/>
      </c>
    </row>
    <row r="764">
      <c r="A764" s="2"/>
      <c r="B764" s="2"/>
      <c r="C764" s="2" t="str">
        <f t="shared" si="1"/>
        <v> </v>
      </c>
      <c r="D764" s="2" t="str">
        <f>IFERROR(__xludf.DUMMYFUNCTION("""COMPUTED_VALUE"""),"")</f>
        <v/>
      </c>
      <c r="E764" s="2" t="str">
        <f>IFERROR(__xludf.DUMMYFUNCTION("""COMPUTED_VALUE"""),"")</f>
        <v/>
      </c>
    </row>
    <row r="765">
      <c r="A765" s="2"/>
      <c r="B765" s="2"/>
      <c r="C765" s="2" t="str">
        <f t="shared" si="1"/>
        <v> </v>
      </c>
      <c r="D765" s="2" t="str">
        <f>IFERROR(__xludf.DUMMYFUNCTION("""COMPUTED_VALUE"""),"")</f>
        <v/>
      </c>
      <c r="E765" s="2" t="str">
        <f>IFERROR(__xludf.DUMMYFUNCTION("""COMPUTED_VALUE"""),"")</f>
        <v/>
      </c>
    </row>
    <row r="766">
      <c r="A766" s="2"/>
      <c r="B766" s="2"/>
      <c r="C766" s="2" t="str">
        <f t="shared" si="1"/>
        <v> </v>
      </c>
      <c r="D766" s="2" t="str">
        <f>IFERROR(__xludf.DUMMYFUNCTION("""COMPUTED_VALUE"""),"")</f>
        <v/>
      </c>
      <c r="E766" s="2" t="str">
        <f>IFERROR(__xludf.DUMMYFUNCTION("""COMPUTED_VALUE"""),"")</f>
        <v/>
      </c>
    </row>
    <row r="767">
      <c r="A767" s="2"/>
      <c r="B767" s="2"/>
      <c r="C767" s="2" t="str">
        <f t="shared" si="1"/>
        <v> </v>
      </c>
      <c r="D767" s="2" t="str">
        <f>IFERROR(__xludf.DUMMYFUNCTION("""COMPUTED_VALUE"""),"")</f>
        <v/>
      </c>
      <c r="E767" s="2" t="str">
        <f>IFERROR(__xludf.DUMMYFUNCTION("""COMPUTED_VALUE"""),"")</f>
        <v/>
      </c>
    </row>
    <row r="768">
      <c r="A768" s="2"/>
      <c r="B768" s="2"/>
      <c r="C768" s="2" t="str">
        <f t="shared" si="1"/>
        <v> </v>
      </c>
      <c r="D768" s="2" t="str">
        <f>IFERROR(__xludf.DUMMYFUNCTION("""COMPUTED_VALUE"""),"")</f>
        <v/>
      </c>
      <c r="E768" s="2" t="str">
        <f>IFERROR(__xludf.DUMMYFUNCTION("""COMPUTED_VALUE"""),"")</f>
        <v/>
      </c>
    </row>
    <row r="769">
      <c r="A769" s="2"/>
      <c r="B769" s="2"/>
      <c r="C769" s="2" t="str">
        <f t="shared" si="1"/>
        <v> </v>
      </c>
      <c r="D769" s="2" t="str">
        <f>IFERROR(__xludf.DUMMYFUNCTION("""COMPUTED_VALUE"""),"")</f>
        <v/>
      </c>
      <c r="E769" s="2" t="str">
        <f>IFERROR(__xludf.DUMMYFUNCTION("""COMPUTED_VALUE"""),"")</f>
        <v/>
      </c>
    </row>
    <row r="770">
      <c r="A770" s="2"/>
      <c r="B770" s="2"/>
      <c r="C770" s="2" t="str">
        <f t="shared" si="1"/>
        <v> </v>
      </c>
      <c r="D770" s="2" t="str">
        <f>IFERROR(__xludf.DUMMYFUNCTION("""COMPUTED_VALUE"""),"")</f>
        <v/>
      </c>
      <c r="E770" s="2" t="str">
        <f>IFERROR(__xludf.DUMMYFUNCTION("""COMPUTED_VALUE"""),"")</f>
        <v/>
      </c>
    </row>
    <row r="771">
      <c r="A771" s="2"/>
      <c r="B771" s="2"/>
      <c r="C771" s="2" t="str">
        <f t="shared" si="1"/>
        <v> </v>
      </c>
      <c r="D771" s="2" t="str">
        <f>IFERROR(__xludf.DUMMYFUNCTION("""COMPUTED_VALUE"""),"")</f>
        <v/>
      </c>
      <c r="E771" s="2" t="str">
        <f>IFERROR(__xludf.DUMMYFUNCTION("""COMPUTED_VALUE"""),"")</f>
        <v/>
      </c>
    </row>
    <row r="772">
      <c r="A772" s="2"/>
      <c r="B772" s="2"/>
      <c r="C772" s="2" t="str">
        <f t="shared" si="1"/>
        <v> </v>
      </c>
      <c r="D772" s="2" t="str">
        <f>IFERROR(__xludf.DUMMYFUNCTION("""COMPUTED_VALUE"""),"")</f>
        <v/>
      </c>
      <c r="E772" s="2" t="str">
        <f>IFERROR(__xludf.DUMMYFUNCTION("""COMPUTED_VALUE"""),"")</f>
        <v/>
      </c>
    </row>
    <row r="773">
      <c r="C773" s="2" t="str">
        <f t="shared" si="1"/>
        <v> </v>
      </c>
      <c r="D773" s="2" t="str">
        <f>IFERROR(__xludf.DUMMYFUNCTION("""COMPUTED_VALUE"""),"")</f>
        <v/>
      </c>
      <c r="E773" s="2" t="str">
        <f>IFERROR(__xludf.DUMMYFUNCTION("""COMPUTED_VALUE"""),"")</f>
        <v/>
      </c>
    </row>
    <row r="774">
      <c r="C774" s="2" t="str">
        <f t="shared" si="1"/>
        <v> </v>
      </c>
      <c r="D774" s="2" t="str">
        <f>IFERROR(__xludf.DUMMYFUNCTION("""COMPUTED_VALUE"""),"")</f>
        <v/>
      </c>
      <c r="E774" s="2" t="str">
        <f>IFERROR(__xludf.DUMMYFUNCTION("""COMPUTED_VALUE"""),"")</f>
        <v/>
      </c>
    </row>
    <row r="775">
      <c r="C775" s="2" t="str">
        <f t="shared" si="1"/>
        <v> </v>
      </c>
      <c r="D775" s="2" t="str">
        <f>IFERROR(__xludf.DUMMYFUNCTION("""COMPUTED_VALUE"""),"")</f>
        <v/>
      </c>
      <c r="E775" s="2" t="str">
        <f>IFERROR(__xludf.DUMMYFUNCTION("""COMPUTED_VALUE"""),"")</f>
        <v/>
      </c>
    </row>
    <row r="776">
      <c r="C776" s="2" t="str">
        <f t="shared" si="1"/>
        <v> </v>
      </c>
      <c r="D776" s="2"/>
      <c r="E776" s="2" t="str">
        <f>IFERROR(__xludf.DUMMYFUNCTION("""COMPUTED_VALUE"""),"")</f>
        <v/>
      </c>
    </row>
    <row r="777">
      <c r="C777" s="2" t="str">
        <f t="shared" si="1"/>
        <v> </v>
      </c>
      <c r="D777" s="2"/>
      <c r="E777" s="2" t="str">
        <f>IFERROR(__xludf.DUMMYFUNCTION("""COMPUTED_VALUE"""),"")</f>
        <v/>
      </c>
    </row>
    <row r="778">
      <c r="C778" s="2" t="str">
        <f t="shared" si="1"/>
        <v> </v>
      </c>
      <c r="D778" s="2"/>
      <c r="E778" s="2" t="str">
        <f>IFERROR(__xludf.DUMMYFUNCTION("""COMPUTED_VALUE"""),"")</f>
        <v/>
      </c>
    </row>
    <row r="779">
      <c r="C779" s="2" t="str">
        <f t="shared" si="1"/>
        <v> </v>
      </c>
      <c r="D779" s="2"/>
      <c r="E779" s="2" t="str">
        <f>IFERROR(__xludf.DUMMYFUNCTION("""COMPUTED_VALUE"""),"")</f>
        <v/>
      </c>
    </row>
    <row r="780">
      <c r="C780" s="2" t="str">
        <f t="shared" si="1"/>
        <v> </v>
      </c>
      <c r="D780" s="2"/>
      <c r="E780" s="2" t="str">
        <f>IFERROR(__xludf.DUMMYFUNCTION("""COMPUTED_VALUE"""),"")</f>
        <v/>
      </c>
    </row>
    <row r="781">
      <c r="C781" s="2" t="str">
        <f t="shared" si="1"/>
        <v> </v>
      </c>
      <c r="D781" s="2"/>
      <c r="E781" s="2" t="str">
        <f>IFERROR(__xludf.DUMMYFUNCTION("""COMPUTED_VALUE"""),"")</f>
        <v/>
      </c>
    </row>
    <row r="782">
      <c r="C782" s="2" t="str">
        <f t="shared" si="1"/>
        <v> </v>
      </c>
      <c r="D782" s="2"/>
      <c r="E782" s="2" t="str">
        <f>IFERROR(__xludf.DUMMYFUNCTION("""COMPUTED_VALUE"""),"")</f>
        <v/>
      </c>
    </row>
    <row r="783">
      <c r="C783" s="2" t="str">
        <f t="shared" si="1"/>
        <v> </v>
      </c>
      <c r="D783" s="2"/>
      <c r="E783" s="2" t="str">
        <f>IFERROR(__xludf.DUMMYFUNCTION("""COMPUTED_VALUE"""),"")</f>
        <v/>
      </c>
    </row>
    <row r="784">
      <c r="C784" s="2" t="str">
        <f t="shared" si="1"/>
        <v> </v>
      </c>
      <c r="D784" s="2"/>
      <c r="E784" s="2" t="str">
        <f>IFERROR(__xludf.DUMMYFUNCTION("""COMPUTED_VALUE"""),"")</f>
        <v/>
      </c>
    </row>
    <row r="785">
      <c r="C785" s="2" t="str">
        <f t="shared" si="1"/>
        <v> </v>
      </c>
      <c r="D785" s="2"/>
      <c r="E785" s="2" t="str">
        <f>IFERROR(__xludf.DUMMYFUNCTION("""COMPUTED_VALUE"""),"")</f>
        <v/>
      </c>
    </row>
    <row r="786">
      <c r="C786" s="2" t="str">
        <f t="shared" si="1"/>
        <v> </v>
      </c>
      <c r="D786" s="2"/>
      <c r="E786" s="2" t="str">
        <f>IFERROR(__xludf.DUMMYFUNCTION("""COMPUTED_VALUE"""),"")</f>
        <v/>
      </c>
    </row>
    <row r="787">
      <c r="C787" s="2" t="str">
        <f t="shared" si="1"/>
        <v> </v>
      </c>
      <c r="D787" s="2"/>
      <c r="E787" s="2" t="str">
        <f>IFERROR(__xludf.DUMMYFUNCTION("""COMPUTED_VALUE"""),"")</f>
        <v/>
      </c>
    </row>
    <row r="788">
      <c r="C788" s="2" t="str">
        <f t="shared" si="1"/>
        <v> </v>
      </c>
      <c r="D788" s="2"/>
      <c r="E788" s="2" t="str">
        <f>IFERROR(__xludf.DUMMYFUNCTION("""COMPUTED_VALUE"""),"")</f>
        <v/>
      </c>
    </row>
    <row r="789">
      <c r="C789" s="2" t="str">
        <f t="shared" si="1"/>
        <v> </v>
      </c>
      <c r="D789" s="2"/>
      <c r="E789" s="2" t="str">
        <f>IFERROR(__xludf.DUMMYFUNCTION("""COMPUTED_VALUE"""),"")</f>
        <v/>
      </c>
    </row>
    <row r="790">
      <c r="C790" s="2" t="str">
        <f t="shared" si="1"/>
        <v> </v>
      </c>
      <c r="D790" s="2"/>
      <c r="E790" s="2" t="str">
        <f>IFERROR(__xludf.DUMMYFUNCTION("""COMPUTED_VALUE"""),"")</f>
        <v/>
      </c>
    </row>
    <row r="791">
      <c r="C791" s="2" t="str">
        <f t="shared" si="1"/>
        <v> </v>
      </c>
      <c r="D791" s="2"/>
      <c r="E791" s="2" t="str">
        <f>IFERROR(__xludf.DUMMYFUNCTION("""COMPUTED_VALUE"""),"")</f>
        <v/>
      </c>
    </row>
    <row r="792">
      <c r="C792" s="2" t="str">
        <f t="shared" si="1"/>
        <v> </v>
      </c>
      <c r="D792" s="2"/>
      <c r="E792" s="2" t="str">
        <f>IFERROR(__xludf.DUMMYFUNCTION("""COMPUTED_VALUE"""),"")</f>
        <v/>
      </c>
    </row>
    <row r="793">
      <c r="C793" s="2" t="str">
        <f t="shared" si="1"/>
        <v> </v>
      </c>
      <c r="D793" s="2"/>
      <c r="E793" s="2" t="str">
        <f>IFERROR(__xludf.DUMMYFUNCTION("""COMPUTED_VALUE"""),"")</f>
        <v/>
      </c>
    </row>
    <row r="794">
      <c r="C794" s="2" t="str">
        <f t="shared" si="1"/>
        <v> </v>
      </c>
      <c r="D794" s="2"/>
      <c r="E794" s="2" t="str">
        <f>IFERROR(__xludf.DUMMYFUNCTION("""COMPUTED_VALUE"""),"")</f>
        <v/>
      </c>
    </row>
    <row r="795">
      <c r="C795" s="2" t="str">
        <f t="shared" si="1"/>
        <v> </v>
      </c>
      <c r="D795" s="2"/>
      <c r="E795" s="2" t="str">
        <f>IFERROR(__xludf.DUMMYFUNCTION("""COMPUTED_VALUE"""),"")</f>
        <v/>
      </c>
    </row>
    <row r="796">
      <c r="C796" s="2" t="str">
        <f t="shared" si="1"/>
        <v> </v>
      </c>
      <c r="D796" s="2"/>
      <c r="E796" s="2" t="str">
        <f>IFERROR(__xludf.DUMMYFUNCTION("""COMPUTED_VALUE"""),"")</f>
        <v/>
      </c>
    </row>
    <row r="797">
      <c r="C797" s="2" t="str">
        <f t="shared" si="1"/>
        <v> </v>
      </c>
      <c r="D797" s="2"/>
      <c r="E797" s="2" t="str">
        <f>IFERROR(__xludf.DUMMYFUNCTION("""COMPUTED_VALUE"""),"")</f>
        <v/>
      </c>
    </row>
    <row r="798">
      <c r="C798" s="2" t="str">
        <f t="shared" si="1"/>
        <v> </v>
      </c>
      <c r="D798" s="2"/>
      <c r="E798" s="2" t="str">
        <f>IFERROR(__xludf.DUMMYFUNCTION("""COMPUTED_VALUE"""),"")</f>
        <v/>
      </c>
    </row>
    <row r="799">
      <c r="C799" s="2" t="str">
        <f t="shared" si="1"/>
        <v> </v>
      </c>
      <c r="D799" s="2"/>
      <c r="E799" s="2" t="str">
        <f>IFERROR(__xludf.DUMMYFUNCTION("""COMPUTED_VALUE"""),"")</f>
        <v/>
      </c>
    </row>
    <row r="800">
      <c r="C800" s="2" t="str">
        <f t="shared" si="1"/>
        <v> </v>
      </c>
      <c r="D800" s="2"/>
      <c r="E800" s="2" t="str">
        <f>IFERROR(__xludf.DUMMYFUNCTION("""COMPUTED_VALUE"""),"")</f>
        <v/>
      </c>
    </row>
    <row r="801">
      <c r="C801" s="2" t="str">
        <f t="shared" si="1"/>
        <v> </v>
      </c>
      <c r="D801" s="2"/>
      <c r="E801" s="2" t="str">
        <f>IFERROR(__xludf.DUMMYFUNCTION("""COMPUTED_VALUE"""),"")</f>
        <v/>
      </c>
    </row>
    <row r="802">
      <c r="C802" s="2" t="str">
        <f t="shared" si="1"/>
        <v> </v>
      </c>
      <c r="D802" s="2"/>
      <c r="E802" s="2" t="str">
        <f>IFERROR(__xludf.DUMMYFUNCTION("""COMPUTED_VALUE"""),"")</f>
        <v/>
      </c>
    </row>
    <row r="803">
      <c r="C803" s="2" t="str">
        <f t="shared" si="1"/>
        <v> </v>
      </c>
      <c r="D803" s="2"/>
      <c r="E803" s="2" t="str">
        <f>IFERROR(__xludf.DUMMYFUNCTION("""COMPUTED_VALUE"""),"")</f>
        <v/>
      </c>
    </row>
    <row r="804">
      <c r="C804" s="2" t="str">
        <f t="shared" si="1"/>
        <v> </v>
      </c>
      <c r="D804" s="2"/>
      <c r="E804" s="2" t="str">
        <f>IFERROR(__xludf.DUMMYFUNCTION("""COMPUTED_VALUE"""),"")</f>
        <v/>
      </c>
    </row>
    <row r="805">
      <c r="C805" s="2" t="str">
        <f t="shared" si="1"/>
        <v> </v>
      </c>
      <c r="D805" s="2"/>
      <c r="E805" s="2"/>
    </row>
    <row r="806">
      <c r="C806" s="2" t="str">
        <f t="shared" si="1"/>
        <v> </v>
      </c>
      <c r="D806" s="2"/>
      <c r="E806" s="2"/>
    </row>
    <row r="807">
      <c r="C807" s="2" t="str">
        <f t="shared" si="1"/>
        <v> </v>
      </c>
      <c r="D807" s="2"/>
      <c r="E807" s="2"/>
    </row>
    <row r="808">
      <c r="C808" s="2" t="str">
        <f t="shared" si="1"/>
        <v> </v>
      </c>
      <c r="D808" s="2"/>
      <c r="E808" s="2"/>
    </row>
    <row r="809">
      <c r="C809" s="2" t="str">
        <f t="shared" si="1"/>
        <v> </v>
      </c>
      <c r="D809" s="2"/>
      <c r="E809" s="2"/>
    </row>
    <row r="810">
      <c r="C810" s="2" t="str">
        <f t="shared" si="1"/>
        <v> </v>
      </c>
      <c r="D810" s="2"/>
      <c r="E810" s="2"/>
    </row>
    <row r="811">
      <c r="C811" s="2" t="str">
        <f t="shared" si="1"/>
        <v> </v>
      </c>
      <c r="D811" s="2"/>
      <c r="E811" s="2"/>
    </row>
    <row r="812">
      <c r="C812" s="2" t="str">
        <f t="shared" si="1"/>
        <v> </v>
      </c>
      <c r="D812" s="2"/>
      <c r="E812" s="2"/>
    </row>
    <row r="813">
      <c r="C813" s="2" t="str">
        <f t="shared" si="1"/>
        <v> </v>
      </c>
      <c r="D813" s="2"/>
      <c r="E813" s="2"/>
    </row>
    <row r="814">
      <c r="C814" s="2" t="str">
        <f t="shared" si="1"/>
        <v> </v>
      </c>
      <c r="D814" s="2"/>
      <c r="E814" s="2"/>
    </row>
    <row r="815">
      <c r="C815" s="2" t="str">
        <f t="shared" si="1"/>
        <v> </v>
      </c>
      <c r="D815" s="2"/>
      <c r="E815" s="2"/>
    </row>
    <row r="816">
      <c r="C816" s="2" t="str">
        <f t="shared" si="1"/>
        <v> </v>
      </c>
      <c r="D816" s="2"/>
      <c r="E816" s="2"/>
    </row>
    <row r="817">
      <c r="C817" s="2" t="str">
        <f t="shared" si="1"/>
        <v> </v>
      </c>
      <c r="D817" s="2"/>
      <c r="E817" s="2"/>
    </row>
    <row r="818">
      <c r="C818" s="2" t="str">
        <f t="shared" si="1"/>
        <v> </v>
      </c>
      <c r="D818" s="2"/>
      <c r="E818" s="2"/>
    </row>
    <row r="819">
      <c r="C819" s="2" t="str">
        <f t="shared" si="1"/>
        <v> </v>
      </c>
      <c r="D819" s="2"/>
      <c r="E819" s="2"/>
    </row>
    <row r="820">
      <c r="C820" s="2" t="str">
        <f t="shared" si="1"/>
        <v> </v>
      </c>
      <c r="D820" s="2"/>
      <c r="E820" s="2"/>
    </row>
    <row r="821">
      <c r="C821" s="2" t="str">
        <f t="shared" si="1"/>
        <v> </v>
      </c>
      <c r="D821" s="2"/>
      <c r="E821" s="2"/>
    </row>
    <row r="822">
      <c r="C822" s="2" t="str">
        <f t="shared" si="1"/>
        <v> </v>
      </c>
      <c r="D822" s="2"/>
      <c r="E822" s="2"/>
    </row>
    <row r="823">
      <c r="C823" s="2" t="str">
        <f t="shared" si="1"/>
        <v> </v>
      </c>
      <c r="D823" s="2"/>
      <c r="E823" s="2"/>
    </row>
    <row r="824">
      <c r="C824" s="2" t="str">
        <f t="shared" si="1"/>
        <v> </v>
      </c>
      <c r="D824" s="2"/>
      <c r="E824" s="2"/>
    </row>
    <row r="825">
      <c r="C825" s="2" t="str">
        <f t="shared" si="1"/>
        <v> </v>
      </c>
      <c r="D825" s="2"/>
      <c r="E825" s="2"/>
    </row>
    <row r="826">
      <c r="C826" s="2" t="str">
        <f t="shared" si="1"/>
        <v> </v>
      </c>
      <c r="D826" s="2"/>
      <c r="E826" s="2"/>
    </row>
    <row r="827">
      <c r="C827" s="2" t="str">
        <f t="shared" si="1"/>
        <v> </v>
      </c>
      <c r="D827" s="2"/>
      <c r="E827" s="2"/>
    </row>
    <row r="828">
      <c r="C828" s="2" t="str">
        <f t="shared" si="1"/>
        <v> </v>
      </c>
      <c r="D828" s="2"/>
      <c r="E828" s="2"/>
    </row>
    <row r="829">
      <c r="C829" s="2" t="str">
        <f t="shared" si="1"/>
        <v> </v>
      </c>
      <c r="D829" s="2"/>
      <c r="E829" s="2"/>
    </row>
    <row r="830">
      <c r="C830" s="2" t="str">
        <f t="shared" si="1"/>
        <v> </v>
      </c>
      <c r="D830" s="2"/>
      <c r="E830" s="2"/>
    </row>
    <row r="831">
      <c r="C831" s="2" t="str">
        <f t="shared" si="1"/>
        <v> </v>
      </c>
      <c r="D831" s="2"/>
      <c r="E831" s="2"/>
    </row>
    <row r="832">
      <c r="C832" s="2" t="str">
        <f t="shared" si="1"/>
        <v> </v>
      </c>
      <c r="D832" s="2"/>
      <c r="E832" s="2"/>
    </row>
    <row r="833">
      <c r="C833" s="2" t="str">
        <f t="shared" si="1"/>
        <v> </v>
      </c>
      <c r="D833" s="2"/>
      <c r="E833" s="2"/>
    </row>
    <row r="834">
      <c r="C834" s="2" t="str">
        <f t="shared" si="1"/>
        <v> </v>
      </c>
      <c r="D834" s="2"/>
      <c r="E834" s="2"/>
    </row>
    <row r="835">
      <c r="C835" s="2" t="str">
        <f t="shared" si="1"/>
        <v> </v>
      </c>
      <c r="D835" s="2"/>
      <c r="E835" s="2"/>
    </row>
    <row r="836">
      <c r="C836" s="2" t="str">
        <f t="shared" si="1"/>
        <v> </v>
      </c>
      <c r="D836" s="2"/>
      <c r="E836" s="2"/>
    </row>
    <row r="837">
      <c r="C837" s="2" t="str">
        <f t="shared" si="1"/>
        <v> </v>
      </c>
      <c r="D837" s="2"/>
      <c r="E837" s="2"/>
    </row>
    <row r="838">
      <c r="C838" s="2" t="str">
        <f t="shared" si="1"/>
        <v> </v>
      </c>
      <c r="D838" s="2"/>
      <c r="E838" s="2"/>
    </row>
    <row r="839">
      <c r="C839" s="2" t="str">
        <f t="shared" si="1"/>
        <v> </v>
      </c>
      <c r="D839" s="2"/>
      <c r="E839" s="2"/>
    </row>
    <row r="840">
      <c r="C840" s="2" t="str">
        <f t="shared" si="1"/>
        <v> </v>
      </c>
      <c r="D840" s="2"/>
      <c r="E840" s="2"/>
    </row>
    <row r="841">
      <c r="C841" s="2" t="str">
        <f t="shared" si="1"/>
        <v> </v>
      </c>
      <c r="D841" s="2"/>
      <c r="E841" s="2"/>
    </row>
    <row r="842">
      <c r="C842" s="2" t="str">
        <f t="shared" si="1"/>
        <v> </v>
      </c>
      <c r="D842" s="2"/>
      <c r="E842" s="2"/>
    </row>
    <row r="843">
      <c r="C843" s="2" t="str">
        <f t="shared" si="1"/>
        <v> </v>
      </c>
      <c r="D843" s="2"/>
      <c r="E843" s="2"/>
    </row>
    <row r="844">
      <c r="C844" s="2" t="str">
        <f t="shared" si="1"/>
        <v> </v>
      </c>
      <c r="D844" s="2"/>
      <c r="E844" s="2"/>
    </row>
    <row r="845">
      <c r="C845" s="2" t="str">
        <f t="shared" si="1"/>
        <v> </v>
      </c>
      <c r="D845" s="2"/>
      <c r="E845" s="2"/>
    </row>
    <row r="846">
      <c r="C846" s="2" t="str">
        <f t="shared" si="1"/>
        <v> </v>
      </c>
      <c r="D846" s="2"/>
      <c r="E846" s="2"/>
    </row>
    <row r="847">
      <c r="C847" s="2" t="str">
        <f t="shared" si="1"/>
        <v> </v>
      </c>
      <c r="D847" s="2"/>
      <c r="E847" s="2"/>
    </row>
    <row r="848">
      <c r="C848" s="2" t="str">
        <f t="shared" si="1"/>
        <v> </v>
      </c>
      <c r="D848" s="2"/>
      <c r="E848" s="2"/>
    </row>
    <row r="849">
      <c r="C849" s="2" t="str">
        <f t="shared" si="1"/>
        <v> </v>
      </c>
      <c r="D849" s="2"/>
      <c r="E849" s="2"/>
    </row>
    <row r="850">
      <c r="C850" s="2" t="str">
        <f t="shared" si="1"/>
        <v> </v>
      </c>
      <c r="D850" s="2"/>
      <c r="E850" s="2"/>
    </row>
    <row r="851">
      <c r="C851" s="2" t="str">
        <f t="shared" si="1"/>
        <v> </v>
      </c>
      <c r="D851" s="2"/>
      <c r="E851" s="2"/>
    </row>
    <row r="852">
      <c r="C852" s="2" t="str">
        <f t="shared" si="1"/>
        <v> </v>
      </c>
      <c r="D852" s="2"/>
      <c r="E852" s="2"/>
    </row>
    <row r="853">
      <c r="C853" s="2" t="str">
        <f t="shared" si="1"/>
        <v> </v>
      </c>
      <c r="D853" s="2"/>
      <c r="E853" s="2"/>
    </row>
    <row r="854">
      <c r="C854" s="2" t="str">
        <f t="shared" si="1"/>
        <v> </v>
      </c>
      <c r="D854" s="2"/>
      <c r="E854" s="2"/>
    </row>
    <row r="855">
      <c r="C855" s="2" t="str">
        <f t="shared" si="1"/>
        <v> </v>
      </c>
      <c r="D855" s="2"/>
      <c r="E855" s="2"/>
    </row>
    <row r="856">
      <c r="C856" s="2" t="str">
        <f t="shared" si="1"/>
        <v> </v>
      </c>
      <c r="D856" s="2"/>
      <c r="E856" s="2"/>
    </row>
    <row r="857">
      <c r="C857" s="2" t="str">
        <f t="shared" si="1"/>
        <v> </v>
      </c>
      <c r="D857" s="2"/>
      <c r="E857" s="2"/>
    </row>
    <row r="858">
      <c r="C858" s="2" t="str">
        <f t="shared" si="1"/>
        <v> </v>
      </c>
      <c r="D858" s="2"/>
      <c r="E858" s="2"/>
    </row>
    <row r="859">
      <c r="C859" s="2" t="str">
        <f t="shared" si="1"/>
        <v> </v>
      </c>
      <c r="D859" s="2"/>
      <c r="E859" s="2"/>
    </row>
    <row r="860">
      <c r="C860" s="2" t="str">
        <f t="shared" si="1"/>
        <v> </v>
      </c>
      <c r="D860" s="2"/>
      <c r="E860" s="2"/>
    </row>
    <row r="861">
      <c r="C861" s="2" t="str">
        <f t="shared" si="1"/>
        <v> </v>
      </c>
      <c r="D861" s="2"/>
      <c r="E861" s="2"/>
    </row>
    <row r="862">
      <c r="C862" s="2" t="str">
        <f t="shared" si="1"/>
        <v> </v>
      </c>
      <c r="D862" s="2"/>
      <c r="E862" s="2"/>
    </row>
    <row r="863">
      <c r="C863" s="2" t="str">
        <f t="shared" si="1"/>
        <v> </v>
      </c>
      <c r="D863" s="2"/>
      <c r="E863" s="2"/>
    </row>
    <row r="864">
      <c r="C864" s="2" t="str">
        <f t="shared" si="1"/>
        <v> </v>
      </c>
      <c r="D864" s="2"/>
      <c r="E864" s="2"/>
    </row>
    <row r="865">
      <c r="C865" s="2" t="str">
        <f t="shared" si="1"/>
        <v> </v>
      </c>
      <c r="D865" s="2"/>
      <c r="E865" s="2"/>
    </row>
    <row r="866">
      <c r="C866" s="2" t="str">
        <f t="shared" si="1"/>
        <v> </v>
      </c>
      <c r="D866" s="2"/>
      <c r="E866" s="2"/>
    </row>
    <row r="867">
      <c r="C867" s="2" t="str">
        <f t="shared" si="1"/>
        <v> </v>
      </c>
      <c r="D867" s="2"/>
      <c r="E867" s="2"/>
    </row>
    <row r="868">
      <c r="C868" s="2" t="str">
        <f t="shared" si="1"/>
        <v> </v>
      </c>
      <c r="D868" s="2"/>
      <c r="E868" s="2"/>
    </row>
    <row r="869">
      <c r="C869" s="2" t="str">
        <f t="shared" si="1"/>
        <v> </v>
      </c>
      <c r="D869" s="2"/>
      <c r="E869" s="2"/>
    </row>
    <row r="870">
      <c r="C870" s="2" t="str">
        <f t="shared" si="1"/>
        <v> </v>
      </c>
      <c r="D870" s="2"/>
      <c r="E870" s="2"/>
    </row>
    <row r="871">
      <c r="C871" s="2" t="str">
        <f t="shared" si="1"/>
        <v> </v>
      </c>
      <c r="D871" s="2"/>
      <c r="E871" s="2"/>
    </row>
    <row r="872">
      <c r="C872" s="2" t="str">
        <f t="shared" si="1"/>
        <v> </v>
      </c>
      <c r="D872" s="2"/>
      <c r="E872" s="2"/>
    </row>
    <row r="873">
      <c r="C873" s="2" t="str">
        <f t="shared" si="1"/>
        <v> </v>
      </c>
      <c r="D873" s="2"/>
      <c r="E873" s="2"/>
    </row>
    <row r="874">
      <c r="C874" s="2" t="str">
        <f t="shared" si="1"/>
        <v> </v>
      </c>
      <c r="D874" s="2"/>
      <c r="E874" s="2"/>
    </row>
    <row r="875">
      <c r="C875" s="2" t="str">
        <f t="shared" si="1"/>
        <v> </v>
      </c>
      <c r="D875" s="2"/>
      <c r="E875" s="2"/>
    </row>
    <row r="876">
      <c r="C876" s="2" t="str">
        <f t="shared" si="1"/>
        <v> </v>
      </c>
      <c r="D876" s="2"/>
      <c r="E876" s="2"/>
    </row>
    <row r="877">
      <c r="C877" s="2" t="str">
        <f t="shared" si="1"/>
        <v> </v>
      </c>
      <c r="D877" s="2"/>
      <c r="E877" s="2"/>
    </row>
    <row r="878">
      <c r="C878" s="2" t="str">
        <f t="shared" si="1"/>
        <v> </v>
      </c>
      <c r="D878" s="2"/>
      <c r="E878" s="2"/>
    </row>
    <row r="879">
      <c r="C879" s="2" t="str">
        <f t="shared" si="1"/>
        <v> </v>
      </c>
      <c r="D879" s="2"/>
      <c r="E879" s="2"/>
    </row>
    <row r="880">
      <c r="C880" s="2" t="str">
        <f t="shared" si="1"/>
        <v> </v>
      </c>
      <c r="D880" s="2"/>
      <c r="E880" s="2"/>
    </row>
    <row r="881">
      <c r="C881" s="2" t="str">
        <f t="shared" si="1"/>
        <v> </v>
      </c>
      <c r="D881" s="2"/>
      <c r="E881" s="2"/>
    </row>
    <row r="882">
      <c r="C882" s="2" t="str">
        <f t="shared" si="1"/>
        <v> </v>
      </c>
      <c r="D882" s="2"/>
      <c r="E882" s="2"/>
    </row>
    <row r="883">
      <c r="C883" s="2" t="str">
        <f t="shared" si="1"/>
        <v> </v>
      </c>
      <c r="D883" s="2"/>
      <c r="E883" s="2"/>
    </row>
    <row r="884">
      <c r="C884" s="2" t="str">
        <f t="shared" si="1"/>
        <v> </v>
      </c>
      <c r="D884" s="2"/>
      <c r="E884" s="2"/>
    </row>
    <row r="885">
      <c r="C885" s="2" t="str">
        <f t="shared" si="1"/>
        <v> </v>
      </c>
      <c r="D885" s="2"/>
      <c r="E885" s="2"/>
    </row>
    <row r="886">
      <c r="C886" s="2" t="str">
        <f t="shared" si="1"/>
        <v> </v>
      </c>
      <c r="D886" s="2"/>
      <c r="E886" s="2"/>
    </row>
    <row r="887">
      <c r="C887" s="2" t="str">
        <f t="shared" si="1"/>
        <v> </v>
      </c>
      <c r="D887" s="2"/>
      <c r="E887" s="2"/>
    </row>
    <row r="888">
      <c r="C888" s="2" t="str">
        <f t="shared" si="1"/>
        <v> </v>
      </c>
      <c r="D888" s="2"/>
      <c r="E888" s="2"/>
    </row>
    <row r="889">
      <c r="C889" s="2" t="str">
        <f t="shared" si="1"/>
        <v> </v>
      </c>
      <c r="D889" s="2"/>
      <c r="E889" s="2"/>
    </row>
    <row r="890">
      <c r="C890" s="2" t="str">
        <f t="shared" si="1"/>
        <v> </v>
      </c>
      <c r="D890" s="2"/>
      <c r="E890" s="2"/>
    </row>
    <row r="891">
      <c r="C891" s="2" t="str">
        <f t="shared" si="1"/>
        <v> </v>
      </c>
      <c r="D891" s="2"/>
      <c r="E891" s="2"/>
    </row>
    <row r="892">
      <c r="C892" s="2" t="str">
        <f t="shared" si="1"/>
        <v> </v>
      </c>
      <c r="D892" s="2"/>
      <c r="E892" s="2"/>
    </row>
    <row r="893">
      <c r="C893" s="2" t="str">
        <f t="shared" si="1"/>
        <v> </v>
      </c>
      <c r="D893" s="2"/>
      <c r="E893" s="2"/>
    </row>
    <row r="894">
      <c r="C894" s="2" t="str">
        <f t="shared" si="1"/>
        <v> </v>
      </c>
      <c r="D894" s="2"/>
      <c r="E894" s="2"/>
    </row>
    <row r="895">
      <c r="C895" s="2" t="str">
        <f t="shared" si="1"/>
        <v> </v>
      </c>
      <c r="D895" s="2"/>
      <c r="E895" s="2"/>
    </row>
    <row r="896">
      <c r="C896" s="2" t="str">
        <f t="shared" si="1"/>
        <v> </v>
      </c>
      <c r="D896" s="2"/>
      <c r="E896" s="2"/>
    </row>
    <row r="897">
      <c r="C897" s="2" t="str">
        <f t="shared" si="1"/>
        <v> </v>
      </c>
      <c r="D897" s="2"/>
      <c r="E897" s="2"/>
    </row>
    <row r="898">
      <c r="C898" s="2" t="str">
        <f t="shared" si="1"/>
        <v> </v>
      </c>
      <c r="D898" s="2"/>
      <c r="E898" s="2"/>
    </row>
    <row r="899">
      <c r="C899" s="2" t="str">
        <f t="shared" si="1"/>
        <v> </v>
      </c>
      <c r="D899" s="2"/>
      <c r="E899" s="2"/>
    </row>
    <row r="900">
      <c r="C900" s="2" t="str">
        <f t="shared" si="1"/>
        <v> </v>
      </c>
      <c r="D900" s="2"/>
      <c r="E900" s="2"/>
    </row>
    <row r="901">
      <c r="C901" s="2" t="str">
        <f t="shared" si="1"/>
        <v> </v>
      </c>
      <c r="D901" s="2"/>
      <c r="E901" s="2"/>
    </row>
    <row r="902">
      <c r="C902" s="2" t="str">
        <f t="shared" si="1"/>
        <v> </v>
      </c>
      <c r="D902" s="2"/>
      <c r="E902" s="2"/>
    </row>
    <row r="903">
      <c r="C903" s="2" t="str">
        <f t="shared" si="1"/>
        <v> </v>
      </c>
      <c r="D903" s="2"/>
      <c r="E903" s="2"/>
    </row>
    <row r="904">
      <c r="C904" s="2" t="str">
        <f t="shared" si="1"/>
        <v> </v>
      </c>
      <c r="D904" s="2"/>
      <c r="E904" s="2"/>
    </row>
    <row r="905">
      <c r="C905" s="2" t="str">
        <f t="shared" si="1"/>
        <v> </v>
      </c>
      <c r="D905" s="2"/>
      <c r="E905" s="2"/>
    </row>
    <row r="906">
      <c r="C906" s="2" t="str">
        <f t="shared" si="1"/>
        <v> </v>
      </c>
      <c r="D906" s="2"/>
      <c r="E906" s="2"/>
    </row>
    <row r="907">
      <c r="C907" s="2" t="str">
        <f t="shared" si="1"/>
        <v> </v>
      </c>
      <c r="D907" s="2"/>
      <c r="E907" s="2"/>
    </row>
    <row r="908">
      <c r="C908" s="2" t="str">
        <f t="shared" si="1"/>
        <v> </v>
      </c>
      <c r="D908" s="2"/>
      <c r="E908" s="2"/>
    </row>
    <row r="909">
      <c r="C909" s="2" t="str">
        <f t="shared" si="1"/>
        <v> </v>
      </c>
      <c r="D909" s="2"/>
      <c r="E909" s="2"/>
    </row>
    <row r="910">
      <c r="C910" s="2" t="str">
        <f t="shared" si="1"/>
        <v> </v>
      </c>
      <c r="D910" s="2"/>
      <c r="E910" s="2"/>
    </row>
    <row r="911">
      <c r="C911" s="2" t="str">
        <f t="shared" si="1"/>
        <v> </v>
      </c>
      <c r="D911" s="2"/>
      <c r="E911" s="2"/>
    </row>
    <row r="912">
      <c r="C912" s="2" t="str">
        <f t="shared" si="1"/>
        <v> </v>
      </c>
      <c r="D912" s="2"/>
      <c r="E912" s="2"/>
    </row>
    <row r="913">
      <c r="C913" s="2" t="str">
        <f t="shared" si="1"/>
        <v> </v>
      </c>
      <c r="D913" s="2"/>
      <c r="E913" s="2"/>
    </row>
    <row r="914">
      <c r="C914" s="2" t="str">
        <f t="shared" si="1"/>
        <v> </v>
      </c>
      <c r="D914" s="2"/>
      <c r="E914" s="2"/>
    </row>
    <row r="915">
      <c r="C915" s="2" t="str">
        <f t="shared" si="1"/>
        <v> </v>
      </c>
      <c r="D915" s="2"/>
      <c r="E915" s="2"/>
    </row>
    <row r="916">
      <c r="C916" s="2" t="str">
        <f t="shared" si="1"/>
        <v> </v>
      </c>
      <c r="D916" s="2"/>
      <c r="E916" s="2"/>
    </row>
    <row r="917">
      <c r="C917" s="2" t="str">
        <f t="shared" si="1"/>
        <v> </v>
      </c>
      <c r="D917" s="2"/>
      <c r="E917" s="2"/>
    </row>
    <row r="918">
      <c r="C918" s="2" t="str">
        <f t="shared" si="1"/>
        <v> </v>
      </c>
      <c r="D918" s="2"/>
      <c r="E918" s="2"/>
    </row>
    <row r="919">
      <c r="C919" s="2" t="str">
        <f t="shared" si="1"/>
        <v> </v>
      </c>
      <c r="D919" s="2"/>
      <c r="E919" s="2"/>
    </row>
    <row r="920">
      <c r="C920" s="2" t="str">
        <f t="shared" si="1"/>
        <v> </v>
      </c>
      <c r="D920" s="2"/>
      <c r="E920" s="2"/>
    </row>
    <row r="921">
      <c r="C921" s="2" t="str">
        <f t="shared" si="1"/>
        <v> </v>
      </c>
      <c r="D921" s="2"/>
      <c r="E921" s="2"/>
    </row>
    <row r="922">
      <c r="C922" s="2" t="str">
        <f t="shared" si="1"/>
        <v> </v>
      </c>
      <c r="D922" s="2"/>
      <c r="E922" s="2"/>
    </row>
    <row r="923">
      <c r="C923" s="2" t="str">
        <f t="shared" si="1"/>
        <v> </v>
      </c>
      <c r="D923" s="2"/>
      <c r="E923" s="2"/>
    </row>
    <row r="924">
      <c r="C924" s="2" t="str">
        <f t="shared" si="1"/>
        <v> </v>
      </c>
      <c r="D924" s="2"/>
      <c r="E924" s="2"/>
    </row>
    <row r="925">
      <c r="C925" s="2" t="str">
        <f t="shared" si="1"/>
        <v> </v>
      </c>
      <c r="D925" s="2"/>
      <c r="E925" s="2"/>
    </row>
    <row r="926">
      <c r="C926" s="2" t="str">
        <f t="shared" si="1"/>
        <v> </v>
      </c>
      <c r="D926" s="2"/>
      <c r="E926" s="2"/>
    </row>
    <row r="927">
      <c r="C927" s="2" t="str">
        <f t="shared" si="1"/>
        <v> </v>
      </c>
      <c r="D927" s="2"/>
      <c r="E927" s="2"/>
    </row>
    <row r="928">
      <c r="C928" s="2" t="str">
        <f t="shared" si="1"/>
        <v> </v>
      </c>
      <c r="D928" s="2"/>
      <c r="E928" s="2"/>
    </row>
    <row r="929">
      <c r="C929" s="2" t="str">
        <f t="shared" si="1"/>
        <v> </v>
      </c>
      <c r="D929" s="2"/>
      <c r="E929" s="2"/>
    </row>
    <row r="930">
      <c r="C930" s="2" t="str">
        <f t="shared" si="1"/>
        <v> </v>
      </c>
      <c r="D930" s="2"/>
      <c r="E930" s="2"/>
    </row>
    <row r="931">
      <c r="C931" s="2" t="str">
        <f t="shared" si="1"/>
        <v> </v>
      </c>
      <c r="D931" s="2"/>
      <c r="E931" s="2"/>
    </row>
    <row r="932">
      <c r="C932" s="2" t="str">
        <f t="shared" si="1"/>
        <v> </v>
      </c>
      <c r="D932" s="2"/>
      <c r="E932" s="2"/>
    </row>
    <row r="933">
      <c r="C933" s="2" t="str">
        <f t="shared" si="1"/>
        <v> </v>
      </c>
      <c r="D933" s="2"/>
      <c r="E933" s="2"/>
    </row>
    <row r="934">
      <c r="C934" s="2" t="str">
        <f t="shared" si="1"/>
        <v> </v>
      </c>
      <c r="D934" s="2"/>
      <c r="E934" s="2"/>
    </row>
    <row r="935">
      <c r="C935" s="2" t="str">
        <f t="shared" si="1"/>
        <v> </v>
      </c>
      <c r="D935" s="2"/>
      <c r="E935" s="2"/>
    </row>
    <row r="936">
      <c r="C936" s="2" t="str">
        <f t="shared" si="1"/>
        <v> </v>
      </c>
      <c r="D936" s="2"/>
      <c r="E936" s="2"/>
    </row>
    <row r="937">
      <c r="C937" s="2" t="str">
        <f t="shared" si="1"/>
        <v> </v>
      </c>
      <c r="D937" s="2"/>
      <c r="E937" s="2"/>
    </row>
    <row r="938">
      <c r="C938" s="2" t="str">
        <f t="shared" si="1"/>
        <v> </v>
      </c>
      <c r="D938" s="2"/>
      <c r="E938" s="2"/>
    </row>
    <row r="939">
      <c r="C939" s="2" t="str">
        <f t="shared" si="1"/>
        <v> </v>
      </c>
      <c r="D939" s="2"/>
      <c r="E939" s="2"/>
    </row>
    <row r="940">
      <c r="C940" s="2" t="str">
        <f t="shared" si="1"/>
        <v> </v>
      </c>
      <c r="D940" s="2"/>
      <c r="E940" s="2"/>
    </row>
    <row r="941">
      <c r="C941" s="2" t="str">
        <f t="shared" si="1"/>
        <v> </v>
      </c>
      <c r="D941" s="2"/>
      <c r="E941" s="2"/>
    </row>
    <row r="942">
      <c r="C942" s="2" t="str">
        <f t="shared" si="1"/>
        <v> </v>
      </c>
      <c r="D942" s="2"/>
      <c r="E942" s="2"/>
    </row>
    <row r="943">
      <c r="C943" s="2" t="str">
        <f t="shared" si="1"/>
        <v> </v>
      </c>
      <c r="D943" s="2"/>
      <c r="E943" s="2"/>
    </row>
    <row r="944">
      <c r="C944" s="2" t="str">
        <f t="shared" si="1"/>
        <v> </v>
      </c>
      <c r="D944" s="2"/>
      <c r="E944" s="2"/>
    </row>
    <row r="945">
      <c r="C945" s="2" t="str">
        <f t="shared" si="1"/>
        <v> </v>
      </c>
      <c r="D945" s="2"/>
      <c r="E945" s="2"/>
    </row>
    <row r="946">
      <c r="C946" s="2" t="str">
        <f t="shared" si="1"/>
        <v> </v>
      </c>
      <c r="D946" s="2"/>
      <c r="E946" s="2"/>
    </row>
    <row r="947">
      <c r="C947" s="2" t="str">
        <f t="shared" si="1"/>
        <v> </v>
      </c>
      <c r="D947" s="2"/>
      <c r="E947" s="2"/>
    </row>
    <row r="948">
      <c r="C948" s="2" t="str">
        <f t="shared" si="1"/>
        <v> </v>
      </c>
      <c r="D948" s="2"/>
      <c r="E948" s="2"/>
    </row>
    <row r="949">
      <c r="C949" s="2" t="str">
        <f t="shared" si="1"/>
        <v> </v>
      </c>
      <c r="D949" s="2"/>
      <c r="E949" s="2"/>
    </row>
    <row r="950">
      <c r="C950" s="2" t="str">
        <f t="shared" si="1"/>
        <v> </v>
      </c>
      <c r="D950" s="2"/>
      <c r="E950" s="2"/>
    </row>
    <row r="951">
      <c r="C951" s="2" t="str">
        <f t="shared" si="1"/>
        <v> </v>
      </c>
      <c r="D951" s="2"/>
      <c r="E951" s="2"/>
    </row>
    <row r="952">
      <c r="C952" s="2" t="str">
        <f t="shared" si="1"/>
        <v> </v>
      </c>
      <c r="D952" s="2"/>
      <c r="E952" s="2"/>
    </row>
    <row r="953">
      <c r="C953" s="2" t="str">
        <f t="shared" si="1"/>
        <v> </v>
      </c>
      <c r="D953" s="2"/>
      <c r="E953" s="2"/>
    </row>
    <row r="954">
      <c r="C954" s="2" t="str">
        <f t="shared" si="1"/>
        <v> </v>
      </c>
      <c r="D954" s="2"/>
      <c r="E954" s="2"/>
    </row>
    <row r="955">
      <c r="C955" s="2" t="str">
        <f t="shared" si="1"/>
        <v> </v>
      </c>
      <c r="D955" s="2"/>
      <c r="E955" s="2"/>
    </row>
    <row r="956">
      <c r="C956" s="2" t="str">
        <f t="shared" si="1"/>
        <v> </v>
      </c>
      <c r="D956" s="2"/>
      <c r="E956" s="2"/>
    </row>
    <row r="957">
      <c r="C957" s="2" t="str">
        <f t="shared" si="1"/>
        <v> </v>
      </c>
      <c r="D957" s="2"/>
      <c r="E957" s="2"/>
    </row>
    <row r="958">
      <c r="C958" s="2" t="str">
        <f t="shared" si="1"/>
        <v> </v>
      </c>
      <c r="D958" s="2"/>
      <c r="E958" s="2"/>
    </row>
    <row r="959">
      <c r="C959" s="2" t="str">
        <f t="shared" si="1"/>
        <v> </v>
      </c>
      <c r="D959" s="2"/>
      <c r="E959" s="2"/>
    </row>
    <row r="960">
      <c r="C960" s="2" t="str">
        <f t="shared" si="1"/>
        <v> </v>
      </c>
      <c r="D960" s="2"/>
      <c r="E960" s="2"/>
    </row>
    <row r="961">
      <c r="C961" s="2" t="str">
        <f t="shared" si="1"/>
        <v> </v>
      </c>
      <c r="D961" s="2"/>
      <c r="E961" s="2"/>
    </row>
    <row r="962">
      <c r="C962" s="2" t="str">
        <f t="shared" si="1"/>
        <v> </v>
      </c>
      <c r="D962" s="2"/>
      <c r="E962" s="2"/>
    </row>
    <row r="963">
      <c r="C963" s="2" t="str">
        <f t="shared" si="1"/>
        <v> </v>
      </c>
      <c r="D963" s="2"/>
      <c r="E963" s="2"/>
    </row>
    <row r="964">
      <c r="C964" s="2" t="str">
        <f t="shared" si="1"/>
        <v> </v>
      </c>
      <c r="D964" s="2"/>
      <c r="E964" s="2"/>
    </row>
    <row r="965">
      <c r="C965" s="2" t="str">
        <f t="shared" si="1"/>
        <v> </v>
      </c>
      <c r="D965" s="2"/>
      <c r="E965" s="2"/>
    </row>
    <row r="966">
      <c r="C966" s="2" t="str">
        <f t="shared" si="1"/>
        <v> </v>
      </c>
      <c r="D966" s="2"/>
      <c r="E966" s="2"/>
    </row>
    <row r="967">
      <c r="C967" s="2" t="str">
        <f t="shared" si="1"/>
        <v> </v>
      </c>
      <c r="D967" s="2"/>
      <c r="E967" s="2"/>
    </row>
    <row r="968">
      <c r="C968" s="2" t="str">
        <f t="shared" si="1"/>
        <v> </v>
      </c>
      <c r="D968" s="2"/>
      <c r="E968" s="2"/>
    </row>
    <row r="969">
      <c r="C969" s="2" t="str">
        <f t="shared" si="1"/>
        <v> </v>
      </c>
      <c r="D969" s="2"/>
      <c r="E969" s="2"/>
    </row>
    <row r="970">
      <c r="C970" s="2" t="str">
        <f t="shared" si="1"/>
        <v> </v>
      </c>
      <c r="D970" s="2"/>
      <c r="E970" s="2"/>
    </row>
    <row r="971">
      <c r="C971" s="2" t="str">
        <f t="shared" si="1"/>
        <v> </v>
      </c>
      <c r="D971" s="2"/>
      <c r="E971" s="2"/>
    </row>
    <row r="972">
      <c r="C972" s="2" t="str">
        <f t="shared" si="1"/>
        <v> </v>
      </c>
      <c r="D972" s="2"/>
      <c r="E972" s="2"/>
    </row>
    <row r="973">
      <c r="C973" s="2" t="str">
        <f t="shared" si="1"/>
        <v> </v>
      </c>
      <c r="D973" s="2"/>
      <c r="E973" s="2"/>
    </row>
    <row r="974">
      <c r="C974" s="2" t="str">
        <f t="shared" si="1"/>
        <v> </v>
      </c>
      <c r="D974" s="2"/>
      <c r="E974" s="2"/>
    </row>
    <row r="975">
      <c r="C975" s="2" t="str">
        <f t="shared" si="1"/>
        <v> </v>
      </c>
      <c r="D975" s="2"/>
      <c r="E975" s="2"/>
    </row>
    <row r="976">
      <c r="C976" s="2" t="str">
        <f t="shared" si="1"/>
        <v> </v>
      </c>
      <c r="D976" s="2"/>
      <c r="E976" s="2"/>
    </row>
    <row r="977">
      <c r="C977" s="2" t="str">
        <f t="shared" si="1"/>
        <v> </v>
      </c>
      <c r="D977" s="2"/>
      <c r="E977" s="2"/>
    </row>
    <row r="978">
      <c r="C978" s="2" t="str">
        <f t="shared" si="1"/>
        <v> </v>
      </c>
      <c r="D978" s="2"/>
      <c r="E978" s="2"/>
    </row>
    <row r="979">
      <c r="C979" s="2" t="str">
        <f t="shared" si="1"/>
        <v> </v>
      </c>
      <c r="D979" s="2"/>
      <c r="E979" s="2"/>
    </row>
    <row r="980">
      <c r="C980" s="2" t="str">
        <f t="shared" si="1"/>
        <v> </v>
      </c>
      <c r="D980" s="2"/>
      <c r="E980" s="2"/>
    </row>
    <row r="981">
      <c r="C981" s="2" t="str">
        <f t="shared" si="1"/>
        <v> </v>
      </c>
      <c r="D981" s="2"/>
      <c r="E981" s="2"/>
    </row>
    <row r="982">
      <c r="C982" s="2" t="str">
        <f t="shared" si="1"/>
        <v> </v>
      </c>
      <c r="D982" s="2"/>
      <c r="E982" s="2"/>
    </row>
    <row r="983">
      <c r="C983" s="2" t="str">
        <f t="shared" si="1"/>
        <v> </v>
      </c>
      <c r="D983" s="2"/>
      <c r="E983" s="2"/>
    </row>
    <row r="984">
      <c r="C984" s="2" t="str">
        <f t="shared" si="1"/>
        <v> </v>
      </c>
      <c r="D984" s="2"/>
      <c r="E984" s="2"/>
    </row>
    <row r="985">
      <c r="C985" s="2" t="str">
        <f t="shared" si="1"/>
        <v> </v>
      </c>
      <c r="D985" s="2"/>
      <c r="E985" s="2"/>
    </row>
    <row r="986">
      <c r="C986" s="2" t="str">
        <f t="shared" si="1"/>
        <v> </v>
      </c>
      <c r="D986" s="2"/>
      <c r="E986" s="2"/>
    </row>
    <row r="987">
      <c r="C987" s="2" t="str">
        <f t="shared" si="1"/>
        <v> </v>
      </c>
      <c r="D987" s="2"/>
      <c r="E987" s="2"/>
    </row>
    <row r="988">
      <c r="C988" s="2" t="str">
        <f t="shared" si="1"/>
        <v> </v>
      </c>
      <c r="D988" s="2"/>
      <c r="E988" s="2"/>
    </row>
    <row r="989">
      <c r="C989" s="2" t="str">
        <f t="shared" si="1"/>
        <v> </v>
      </c>
      <c r="D989" s="2"/>
      <c r="E989" s="2"/>
    </row>
    <row r="990">
      <c r="C990" s="2" t="str">
        <f t="shared" si="1"/>
        <v> </v>
      </c>
      <c r="D990" s="2"/>
      <c r="E990" s="2"/>
    </row>
    <row r="991">
      <c r="C991" s="2" t="str">
        <f t="shared" si="1"/>
        <v> </v>
      </c>
      <c r="D991" s="2"/>
      <c r="E991" s="2"/>
    </row>
    <row r="992">
      <c r="C992" s="2" t="str">
        <f t="shared" si="1"/>
        <v> </v>
      </c>
      <c r="D992" s="2"/>
      <c r="E992" s="2"/>
    </row>
    <row r="993">
      <c r="C993" s="2" t="str">
        <f t="shared" si="1"/>
        <v> </v>
      </c>
      <c r="D993" s="2"/>
      <c r="E993" s="2"/>
    </row>
    <row r="994">
      <c r="C994" s="2" t="str">
        <f t="shared" si="1"/>
        <v> </v>
      </c>
      <c r="D994" s="2"/>
      <c r="E994" s="2"/>
    </row>
    <row r="995">
      <c r="C995" s="2" t="str">
        <f t="shared" si="1"/>
        <v> </v>
      </c>
      <c r="D995" s="2"/>
      <c r="E995" s="2"/>
    </row>
    <row r="996">
      <c r="C996" s="2" t="str">
        <f t="shared" si="1"/>
        <v> </v>
      </c>
      <c r="D996" s="2"/>
      <c r="E996" s="2"/>
    </row>
    <row r="997">
      <c r="C997" s="2" t="str">
        <f t="shared" si="1"/>
        <v> </v>
      </c>
      <c r="D997" s="2"/>
      <c r="E997" s="2"/>
    </row>
    <row r="998">
      <c r="C998" s="2" t="str">
        <f t="shared" si="1"/>
        <v> </v>
      </c>
      <c r="D998" s="2"/>
      <c r="E998" s="2"/>
    </row>
    <row r="999">
      <c r="C999" s="2" t="str">
        <f t="shared" si="1"/>
        <v> </v>
      </c>
      <c r="D999" s="2"/>
      <c r="E999" s="2"/>
    </row>
    <row r="1000">
      <c r="C1000" s="2" t="str">
        <f t="shared" si="1"/>
        <v> </v>
      </c>
      <c r="D1000" s="2"/>
      <c r="E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7.63"/>
    <col customWidth="1" min="3" max="3" width="28.25"/>
    <col customWidth="1" min="7" max="7" width="15.38"/>
    <col customWidth="1" min="8" max="8" width="11.88"/>
    <col customWidth="1" min="11" max="11" width="11.88"/>
    <col customWidth="1" min="13" max="13" width="14.5"/>
    <col customWidth="1" min="14" max="14" width="16.25"/>
    <col customWidth="1" min="17" max="17" width="32.88"/>
    <col hidden="1" min="18" max="34" width="12.63"/>
  </cols>
  <sheetData>
    <row r="1" ht="40.5" customHeight="1">
      <c r="A1" s="5" t="s">
        <v>0</v>
      </c>
      <c r="F1" s="6"/>
      <c r="G1" s="7"/>
      <c r="H1" s="8"/>
      <c r="I1" s="8"/>
      <c r="J1" s="8"/>
      <c r="K1" s="8"/>
      <c r="L1" s="9"/>
      <c r="M1" s="8"/>
      <c r="N1" s="10"/>
      <c r="O1" s="10"/>
      <c r="P1" s="10"/>
      <c r="Q1" s="9"/>
      <c r="R1" s="11" t="s">
        <v>1</v>
      </c>
      <c r="S1" s="12"/>
      <c r="T1" s="13"/>
      <c r="U1" s="11" t="s">
        <v>2</v>
      </c>
      <c r="V1" s="11" t="s">
        <v>2</v>
      </c>
      <c r="W1" s="11" t="s">
        <v>2</v>
      </c>
      <c r="X1" s="11" t="s">
        <v>2</v>
      </c>
      <c r="Y1" s="11"/>
      <c r="Z1" s="11"/>
      <c r="AA1" s="11" t="s">
        <v>2</v>
      </c>
      <c r="AB1" s="11"/>
      <c r="AC1" s="11"/>
      <c r="AD1" s="11"/>
      <c r="AE1" s="11" t="s">
        <v>2</v>
      </c>
      <c r="AF1" s="11"/>
      <c r="AG1" s="11" t="b">
        <v>0</v>
      </c>
      <c r="AH1" s="11"/>
    </row>
    <row r="2">
      <c r="A2" s="14" t="s">
        <v>3</v>
      </c>
      <c r="B2" s="15"/>
      <c r="C2" s="15"/>
      <c r="D2" s="16"/>
      <c r="E2" s="17"/>
      <c r="F2" s="16"/>
      <c r="G2" s="16"/>
      <c r="H2" s="18"/>
      <c r="I2" s="18"/>
      <c r="J2" s="18"/>
      <c r="K2" s="18"/>
      <c r="L2" s="16"/>
      <c r="M2" s="18"/>
      <c r="N2" s="18"/>
      <c r="O2" s="18"/>
      <c r="P2" s="18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ht="44.25" customHeight="1">
      <c r="A3" s="19" t="s">
        <v>4</v>
      </c>
      <c r="B3" s="20" t="s">
        <v>5</v>
      </c>
      <c r="C3" s="21"/>
      <c r="D3" s="22" t="s">
        <v>6</v>
      </c>
      <c r="E3" s="23" t="s">
        <v>7</v>
      </c>
      <c r="F3" s="22" t="s">
        <v>8</v>
      </c>
      <c r="G3" s="24" t="s">
        <v>9</v>
      </c>
      <c r="H3" s="25" t="s">
        <v>10</v>
      </c>
      <c r="I3" s="25" t="s">
        <v>11</v>
      </c>
      <c r="J3" s="26" t="s">
        <v>12</v>
      </c>
      <c r="K3" s="25" t="s">
        <v>13</v>
      </c>
      <c r="L3" s="24" t="s">
        <v>14</v>
      </c>
      <c r="M3" s="24" t="s">
        <v>15</v>
      </c>
      <c r="N3" s="24" t="s">
        <v>16</v>
      </c>
      <c r="O3" s="24" t="s">
        <v>17</v>
      </c>
      <c r="P3" s="27" t="s">
        <v>18</v>
      </c>
      <c r="Q3" s="28" t="s">
        <v>19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</row>
    <row r="4">
      <c r="A4" s="30" t="s">
        <v>20</v>
      </c>
      <c r="B4" s="12" t="s">
        <v>21</v>
      </c>
      <c r="C4" s="13"/>
      <c r="D4" s="11" t="s">
        <v>2</v>
      </c>
      <c r="E4" s="11" t="s">
        <v>2</v>
      </c>
      <c r="F4" s="11" t="s">
        <v>2</v>
      </c>
      <c r="G4" s="11" t="s">
        <v>2</v>
      </c>
      <c r="H4" s="11">
        <v>2403477.0</v>
      </c>
      <c r="I4" s="11">
        <v>35000.0</v>
      </c>
      <c r="J4" s="11">
        <f t="shared" ref="J4:J20" si="1">IF(ISBLANK(I4), "[Do Not Edit]", IF(AND(I4&gt;=0, I4&lt;=800), 2, IF(AND(I4&gt;=801, I4&lt;=22000), 3, IF(I4&gt;22001, 5, ""))))</f>
        <v>5</v>
      </c>
      <c r="K4" s="31">
        <v>45543.0</v>
      </c>
      <c r="L4" s="32">
        <v>45553.0</v>
      </c>
      <c r="M4" s="11">
        <v>2.56131764E9</v>
      </c>
      <c r="N4" s="11" t="str">
        <f t="shared" ref="N4:N20" si="2">IF(J4=5, H4 &amp; "-1" &amp; CHAR(10) &amp; H4 &amp; "-2" &amp; CHAR(10) &amp; H4 &amp; "-3" &amp; CHAR(10) &amp; H4 &amp; "-4" &amp; CHAR(10) &amp; H4 &amp; "-5", IF(J4=3, H4 &amp; "-1" &amp; CHAR(10) &amp; H4 &amp; "-2" &amp; CHAR(10) &amp; H4 &amp; "-3", IF(J4=2, H4 &amp; "-1" &amp; CHAR(10) &amp; H4 &amp; "-2", IF(J4="[Do Not Edit]", "[Do Not Edit]", ""))))</f>
        <v>2403477-1
2403477-2
2403477-3
2403477-4
2403477-5</v>
      </c>
      <c r="O4" s="11" t="s">
        <v>22</v>
      </c>
      <c r="P4" s="11" t="s">
        <v>23</v>
      </c>
      <c r="Q4" s="11" t="s">
        <v>24</v>
      </c>
    </row>
    <row r="5">
      <c r="A5" s="30" t="s">
        <v>20</v>
      </c>
      <c r="B5" s="12" t="s">
        <v>21</v>
      </c>
      <c r="C5" s="13"/>
      <c r="D5" s="11" t="s">
        <v>2</v>
      </c>
      <c r="E5" s="11" t="s">
        <v>2</v>
      </c>
      <c r="F5" s="11" t="s">
        <v>2</v>
      </c>
      <c r="G5" s="11" t="s">
        <v>2</v>
      </c>
      <c r="H5" s="11">
        <v>2403478.0</v>
      </c>
      <c r="I5" s="11">
        <v>18000.0</v>
      </c>
      <c r="J5" s="11">
        <f t="shared" si="1"/>
        <v>3</v>
      </c>
      <c r="K5" s="33">
        <v>45577.0</v>
      </c>
      <c r="L5" s="31">
        <v>45580.0</v>
      </c>
      <c r="M5" s="11">
        <v>4.910638305E9</v>
      </c>
      <c r="N5" s="11" t="str">
        <f t="shared" si="2"/>
        <v>2403478-1
2403478-2
2403478-3</v>
      </c>
      <c r="O5" s="11" t="s">
        <v>22</v>
      </c>
      <c r="P5" s="11" t="s">
        <v>23</v>
      </c>
      <c r="Q5" s="11" t="s">
        <v>25</v>
      </c>
    </row>
    <row r="6">
      <c r="A6" s="30" t="s">
        <v>20</v>
      </c>
      <c r="B6" s="12" t="s">
        <v>26</v>
      </c>
      <c r="C6" s="13"/>
      <c r="D6" s="11" t="s">
        <v>2</v>
      </c>
      <c r="E6" s="11" t="s">
        <v>2</v>
      </c>
      <c r="F6" s="11" t="s">
        <v>2</v>
      </c>
      <c r="G6" s="11" t="s">
        <v>2</v>
      </c>
      <c r="H6" s="11" t="s">
        <v>27</v>
      </c>
      <c r="I6" s="11">
        <v>55000.0</v>
      </c>
      <c r="J6" s="11">
        <f t="shared" si="1"/>
        <v>5</v>
      </c>
      <c r="K6" s="34">
        <v>45600.0</v>
      </c>
      <c r="L6" s="34">
        <v>45602.0</v>
      </c>
      <c r="M6" s="11">
        <v>4.033130371E9</v>
      </c>
      <c r="N6" s="11" t="str">
        <f t="shared" si="2"/>
        <v>2500941 / 2501183-1
2500941 / 2501183-2
2500941 / 2501183-3
2500941 / 2501183-4
2500941 / 2501183-5</v>
      </c>
      <c r="O6" s="11" t="s">
        <v>22</v>
      </c>
      <c r="P6" s="11" t="s">
        <v>23</v>
      </c>
      <c r="Q6" s="11" t="s">
        <v>28</v>
      </c>
    </row>
    <row r="7">
      <c r="A7" s="30" t="s">
        <v>20</v>
      </c>
      <c r="B7" s="12" t="s">
        <v>29</v>
      </c>
      <c r="C7" s="13"/>
      <c r="D7" s="11" t="s">
        <v>2</v>
      </c>
      <c r="E7" s="11" t="s">
        <v>2</v>
      </c>
      <c r="F7" s="11" t="s">
        <v>2</v>
      </c>
      <c r="G7" s="11" t="s">
        <v>2</v>
      </c>
      <c r="H7" s="11">
        <v>2501393.0</v>
      </c>
      <c r="I7" s="11">
        <v>800.0</v>
      </c>
      <c r="J7" s="11">
        <f t="shared" si="1"/>
        <v>2</v>
      </c>
      <c r="K7" s="35">
        <v>45672.0</v>
      </c>
      <c r="L7" s="35">
        <v>45679.0</v>
      </c>
      <c r="M7" s="11">
        <v>9.872897974E9</v>
      </c>
      <c r="N7" s="11" t="str">
        <f t="shared" si="2"/>
        <v>2501393-1
2501393-2</v>
      </c>
      <c r="O7" s="11" t="s">
        <v>22</v>
      </c>
      <c r="P7" s="11" t="s">
        <v>23</v>
      </c>
      <c r="Q7" s="11" t="s">
        <v>30</v>
      </c>
    </row>
    <row r="8">
      <c r="A8" s="30" t="s">
        <v>20</v>
      </c>
      <c r="B8" s="12" t="s">
        <v>26</v>
      </c>
      <c r="C8" s="13"/>
      <c r="D8" s="11" t="s">
        <v>2</v>
      </c>
      <c r="E8" s="11" t="s">
        <v>2</v>
      </c>
      <c r="F8" s="11" t="s">
        <v>2</v>
      </c>
      <c r="G8" s="11" t="s">
        <v>2</v>
      </c>
      <c r="H8" s="11">
        <v>2501816.0</v>
      </c>
      <c r="I8" s="11">
        <v>45000.0</v>
      </c>
      <c r="J8" s="11">
        <f t="shared" si="1"/>
        <v>5</v>
      </c>
      <c r="K8" s="34">
        <v>45694.0</v>
      </c>
      <c r="L8" s="34">
        <v>45701.0</v>
      </c>
      <c r="M8" s="11">
        <v>4.451120026E9</v>
      </c>
      <c r="N8" s="11" t="str">
        <f t="shared" si="2"/>
        <v>2501816-1
2501816-2
2501816-3
2501816-4
2501816-5</v>
      </c>
      <c r="O8" s="11" t="s">
        <v>22</v>
      </c>
      <c r="P8" s="11" t="s">
        <v>23</v>
      </c>
      <c r="Q8" s="11" t="s">
        <v>31</v>
      </c>
    </row>
    <row r="9">
      <c r="A9" s="30" t="s">
        <v>20</v>
      </c>
      <c r="B9" s="12" t="s">
        <v>26</v>
      </c>
      <c r="C9" s="13"/>
      <c r="D9" s="11" t="s">
        <v>2</v>
      </c>
      <c r="E9" s="11" t="s">
        <v>2</v>
      </c>
      <c r="F9" s="11" t="s">
        <v>2</v>
      </c>
      <c r="G9" s="11" t="s">
        <v>2</v>
      </c>
      <c r="H9" s="11">
        <v>2502119.0</v>
      </c>
      <c r="I9" s="11">
        <v>11000.0</v>
      </c>
      <c r="J9" s="11">
        <f t="shared" si="1"/>
        <v>3</v>
      </c>
      <c r="K9" s="34">
        <v>45719.0</v>
      </c>
      <c r="L9" s="34">
        <v>45722.0</v>
      </c>
      <c r="M9" s="11">
        <v>2.587502153E9</v>
      </c>
      <c r="N9" s="11" t="str">
        <f t="shared" si="2"/>
        <v>2502119-1
2502119-2
2502119-3</v>
      </c>
      <c r="O9" s="11" t="s">
        <v>22</v>
      </c>
      <c r="P9" s="11" t="s">
        <v>23</v>
      </c>
      <c r="Q9" s="11" t="s">
        <v>32</v>
      </c>
    </row>
    <row r="10">
      <c r="A10" s="30" t="s">
        <v>20</v>
      </c>
      <c r="B10" s="12" t="s">
        <v>21</v>
      </c>
      <c r="C10" s="13"/>
      <c r="D10" s="11" t="s">
        <v>2</v>
      </c>
      <c r="E10" s="11" t="s">
        <v>2</v>
      </c>
      <c r="F10" s="11" t="s">
        <v>2</v>
      </c>
      <c r="G10" s="11" t="s">
        <v>2</v>
      </c>
      <c r="H10" s="11">
        <v>2502312.0</v>
      </c>
      <c r="I10" s="11">
        <v>8500.0</v>
      </c>
      <c r="J10" s="11">
        <f t="shared" si="1"/>
        <v>3</v>
      </c>
      <c r="K10" s="34">
        <v>45723.0</v>
      </c>
      <c r="L10" s="34">
        <v>45729.0</v>
      </c>
      <c r="M10" s="11">
        <v>5.063730431E9</v>
      </c>
      <c r="N10" s="11" t="str">
        <f t="shared" si="2"/>
        <v>2502312-1
2502312-2
2502312-3</v>
      </c>
      <c r="O10" s="11" t="s">
        <v>22</v>
      </c>
      <c r="P10" s="11" t="s">
        <v>23</v>
      </c>
      <c r="Q10" s="11" t="s">
        <v>33</v>
      </c>
    </row>
    <row r="11">
      <c r="A11" s="30" t="s">
        <v>20</v>
      </c>
      <c r="B11" s="12" t="s">
        <v>26</v>
      </c>
      <c r="C11" s="13"/>
      <c r="D11" s="11" t="s">
        <v>2</v>
      </c>
      <c r="E11" s="11" t="s">
        <v>2</v>
      </c>
      <c r="F11" s="11" t="s">
        <v>2</v>
      </c>
      <c r="G11" s="11" t="s">
        <v>2</v>
      </c>
      <c r="H11" s="11">
        <v>2502433.0</v>
      </c>
      <c r="I11" s="11">
        <v>6000.0</v>
      </c>
      <c r="J11" s="11">
        <f t="shared" si="1"/>
        <v>3</v>
      </c>
      <c r="K11" s="34">
        <v>45751.0</v>
      </c>
      <c r="L11" s="34">
        <v>45757.0</v>
      </c>
      <c r="M11" s="11" t="s">
        <v>34</v>
      </c>
      <c r="N11" s="11" t="str">
        <f t="shared" si="2"/>
        <v>2502433-1
2502433-2
2502433-3</v>
      </c>
      <c r="O11" s="11" t="s">
        <v>22</v>
      </c>
      <c r="P11" s="11" t="s">
        <v>23</v>
      </c>
      <c r="Q11" s="11" t="s">
        <v>35</v>
      </c>
    </row>
    <row r="12">
      <c r="A12" s="30" t="s">
        <v>20</v>
      </c>
      <c r="B12" s="12" t="s">
        <v>36</v>
      </c>
      <c r="C12" s="13"/>
      <c r="D12" s="11" t="s">
        <v>37</v>
      </c>
      <c r="E12" s="11"/>
      <c r="F12" s="11" t="s">
        <v>38</v>
      </c>
      <c r="G12" s="11" t="s">
        <v>39</v>
      </c>
      <c r="H12" s="11">
        <v>2502695.0</v>
      </c>
      <c r="I12" s="11">
        <v>30000.0</v>
      </c>
      <c r="J12" s="11">
        <f t="shared" si="1"/>
        <v>5</v>
      </c>
      <c r="K12" s="34">
        <v>45802.0</v>
      </c>
      <c r="L12" s="34">
        <v>45811.0</v>
      </c>
      <c r="M12" s="11">
        <v>5.382559733E9</v>
      </c>
      <c r="N12" s="11" t="str">
        <f t="shared" si="2"/>
        <v>2502695-1
2502695-2
2502695-3
2502695-4
2502695-5</v>
      </c>
      <c r="O12" s="11" t="s">
        <v>22</v>
      </c>
      <c r="P12" s="11" t="s">
        <v>23</v>
      </c>
      <c r="Q12" s="11" t="s">
        <v>40</v>
      </c>
    </row>
    <row r="13">
      <c r="A13" s="30" t="s">
        <v>20</v>
      </c>
      <c r="B13" s="12" t="s">
        <v>21</v>
      </c>
      <c r="C13" s="13"/>
      <c r="D13" s="11" t="s">
        <v>2</v>
      </c>
      <c r="E13" s="11" t="s">
        <v>2</v>
      </c>
      <c r="F13" s="11" t="s">
        <v>2</v>
      </c>
      <c r="G13" s="11" t="s">
        <v>2</v>
      </c>
      <c r="H13" s="11">
        <v>2502313.0</v>
      </c>
      <c r="I13" s="11">
        <v>19000.0</v>
      </c>
      <c r="J13" s="11">
        <f t="shared" si="1"/>
        <v>3</v>
      </c>
      <c r="K13" s="34">
        <v>45812.0</v>
      </c>
      <c r="L13" s="34">
        <v>45813.0</v>
      </c>
      <c r="M13" s="11">
        <v>2.470985812E9</v>
      </c>
      <c r="N13" s="11" t="str">
        <f t="shared" si="2"/>
        <v>2502313-1
2502313-2
2502313-3</v>
      </c>
      <c r="O13" s="11" t="s">
        <v>22</v>
      </c>
      <c r="P13" s="11" t="s">
        <v>23</v>
      </c>
      <c r="Q13" s="11" t="s">
        <v>41</v>
      </c>
    </row>
    <row r="14">
      <c r="A14" s="30" t="s">
        <v>20</v>
      </c>
      <c r="B14" s="12" t="s">
        <v>21</v>
      </c>
      <c r="C14" s="13"/>
      <c r="D14" s="11" t="s">
        <v>2</v>
      </c>
      <c r="E14" s="11" t="s">
        <v>2</v>
      </c>
      <c r="F14" s="11" t="s">
        <v>2</v>
      </c>
      <c r="G14" s="11" t="s">
        <v>2</v>
      </c>
      <c r="H14" s="11">
        <v>2502432.0</v>
      </c>
      <c r="I14" s="11">
        <v>19000.0</v>
      </c>
      <c r="J14" s="11">
        <f t="shared" si="1"/>
        <v>3</v>
      </c>
      <c r="K14" s="34">
        <v>45842.0</v>
      </c>
      <c r="L14" s="34">
        <v>45847.0</v>
      </c>
      <c r="M14" s="11">
        <v>9.783594752E9</v>
      </c>
      <c r="N14" s="11" t="str">
        <f t="shared" si="2"/>
        <v>2502432-1
2502432-2
2502432-3</v>
      </c>
      <c r="O14" s="11" t="s">
        <v>22</v>
      </c>
      <c r="P14" s="11" t="s">
        <v>23</v>
      </c>
      <c r="Q14" s="11" t="s">
        <v>42</v>
      </c>
    </row>
    <row r="15">
      <c r="A15" s="30" t="s">
        <v>20</v>
      </c>
      <c r="B15" s="12" t="s">
        <v>21</v>
      </c>
      <c r="C15" s="13"/>
      <c r="D15" s="11" t="s">
        <v>2</v>
      </c>
      <c r="E15" s="11" t="s">
        <v>2</v>
      </c>
      <c r="F15" s="11" t="s">
        <v>2</v>
      </c>
      <c r="G15" s="11" t="s">
        <v>2</v>
      </c>
      <c r="H15" s="11">
        <v>2502694.0</v>
      </c>
      <c r="I15" s="11">
        <v>7500.0</v>
      </c>
      <c r="J15" s="11">
        <f t="shared" si="1"/>
        <v>3</v>
      </c>
      <c r="K15" s="34">
        <v>45842.0</v>
      </c>
      <c r="L15" s="34">
        <v>45847.0</v>
      </c>
      <c r="M15" s="11">
        <v>9.783594752E9</v>
      </c>
      <c r="N15" s="11" t="str">
        <f t="shared" si="2"/>
        <v>2502694-1
2502694-2
2502694-3</v>
      </c>
      <c r="O15" s="11" t="s">
        <v>22</v>
      </c>
      <c r="P15" s="11" t="s">
        <v>23</v>
      </c>
      <c r="Q15" s="11" t="s">
        <v>43</v>
      </c>
    </row>
    <row r="16">
      <c r="A16" s="30" t="s">
        <v>20</v>
      </c>
      <c r="B16" s="12" t="s">
        <v>36</v>
      </c>
      <c r="C16" s="13"/>
      <c r="D16" s="11" t="s">
        <v>37</v>
      </c>
      <c r="E16" s="11"/>
      <c r="F16" s="11" t="s">
        <v>38</v>
      </c>
      <c r="G16" s="11" t="s">
        <v>39</v>
      </c>
      <c r="H16" s="11">
        <v>2502752.0</v>
      </c>
      <c r="I16" s="11">
        <v>9600.0</v>
      </c>
      <c r="J16" s="11">
        <f t="shared" si="1"/>
        <v>3</v>
      </c>
      <c r="K16" s="34">
        <v>45891.0</v>
      </c>
      <c r="L16" s="34">
        <v>45894.0</v>
      </c>
      <c r="M16" s="11">
        <v>6.363012036E9</v>
      </c>
      <c r="N16" s="11" t="str">
        <f t="shared" si="2"/>
        <v>2502752-1
2502752-2
2502752-3</v>
      </c>
      <c r="O16" s="11" t="s">
        <v>22</v>
      </c>
      <c r="P16" s="11" t="s">
        <v>23</v>
      </c>
      <c r="Q16" s="11" t="s">
        <v>44</v>
      </c>
    </row>
    <row r="17">
      <c r="A17" s="30" t="s">
        <v>20</v>
      </c>
      <c r="B17" s="12" t="s">
        <v>45</v>
      </c>
      <c r="C17" s="13"/>
      <c r="D17" s="11" t="s">
        <v>37</v>
      </c>
      <c r="E17" s="11"/>
      <c r="F17" s="11" t="s">
        <v>37</v>
      </c>
      <c r="G17" s="11" t="s">
        <v>46</v>
      </c>
      <c r="H17" s="11">
        <v>2600854.0</v>
      </c>
      <c r="I17" s="11">
        <v>35000.0</v>
      </c>
      <c r="J17" s="11">
        <f t="shared" si="1"/>
        <v>5</v>
      </c>
      <c r="K17" s="36">
        <v>45942.0</v>
      </c>
      <c r="L17" s="36">
        <v>45947.0</v>
      </c>
      <c r="M17" s="11">
        <v>3.6620472255E10</v>
      </c>
      <c r="N17" s="11" t="str">
        <f t="shared" si="2"/>
        <v>2600854-1
2600854-2
2600854-3
2600854-4
2600854-5</v>
      </c>
      <c r="O17" s="11" t="s">
        <v>22</v>
      </c>
      <c r="P17" s="11" t="s">
        <v>23</v>
      </c>
      <c r="Q17" s="11" t="s">
        <v>47</v>
      </c>
    </row>
    <row r="18">
      <c r="A18" s="30" t="s">
        <v>20</v>
      </c>
      <c r="B18" s="12" t="s">
        <v>21</v>
      </c>
      <c r="C18" s="13"/>
      <c r="D18" s="11" t="s">
        <v>2</v>
      </c>
      <c r="E18" s="11" t="s">
        <v>2</v>
      </c>
      <c r="F18" s="11" t="s">
        <v>2</v>
      </c>
      <c r="G18" s="11" t="s">
        <v>2</v>
      </c>
      <c r="H18" s="11">
        <v>2600901.0</v>
      </c>
      <c r="I18" s="11">
        <v>23000.0</v>
      </c>
      <c r="J18" s="11">
        <f t="shared" si="1"/>
        <v>5</v>
      </c>
      <c r="K18" s="36">
        <v>46015.0</v>
      </c>
      <c r="L18" s="36">
        <v>46021.0</v>
      </c>
      <c r="M18" s="11">
        <v>7.430343852E9</v>
      </c>
      <c r="N18" s="11" t="str">
        <f t="shared" si="2"/>
        <v>2600901-1
2600901-2
2600901-3
2600901-4
2600901-5</v>
      </c>
      <c r="O18" s="11" t="s">
        <v>22</v>
      </c>
      <c r="P18" s="11" t="s">
        <v>23</v>
      </c>
      <c r="Q18" s="11" t="s">
        <v>48</v>
      </c>
    </row>
    <row r="19">
      <c r="A19" s="30" t="s">
        <v>20</v>
      </c>
      <c r="B19" s="12" t="s">
        <v>36</v>
      </c>
      <c r="C19" s="13"/>
      <c r="D19" s="11" t="s">
        <v>37</v>
      </c>
      <c r="E19" s="11"/>
      <c r="F19" s="11" t="s">
        <v>38</v>
      </c>
      <c r="G19" s="11" t="s">
        <v>39</v>
      </c>
      <c r="H19" s="11">
        <v>2601960.0</v>
      </c>
      <c r="I19" s="11">
        <v>15000.0</v>
      </c>
      <c r="J19" s="11">
        <f t="shared" si="1"/>
        <v>3</v>
      </c>
      <c r="K19" s="36">
        <v>46075.0</v>
      </c>
      <c r="L19" s="36">
        <v>46083.0</v>
      </c>
      <c r="M19" s="11">
        <v>4.86704946E9</v>
      </c>
      <c r="N19" s="11" t="str">
        <f t="shared" si="2"/>
        <v>2601960-1
2601960-2
2601960-3</v>
      </c>
      <c r="O19" s="11" t="s">
        <v>22</v>
      </c>
      <c r="P19" s="11" t="s">
        <v>23</v>
      </c>
      <c r="Q19" s="11" t="s">
        <v>49</v>
      </c>
    </row>
    <row r="20">
      <c r="A20" s="11" t="s">
        <v>1</v>
      </c>
      <c r="B20" s="12" t="s">
        <v>26</v>
      </c>
      <c r="C20" s="13"/>
      <c r="D20" s="11" t="s">
        <v>2</v>
      </c>
      <c r="E20" s="11" t="s">
        <v>2</v>
      </c>
      <c r="F20" s="11" t="s">
        <v>2</v>
      </c>
      <c r="G20" s="11" t="s">
        <v>2</v>
      </c>
      <c r="H20" s="11">
        <v>2602058.0</v>
      </c>
      <c r="I20" s="11">
        <v>10500.0</v>
      </c>
      <c r="J20" s="11">
        <f t="shared" si="1"/>
        <v>3</v>
      </c>
      <c r="K20" s="35">
        <v>46084.0</v>
      </c>
      <c r="L20" s="34">
        <v>46097.0</v>
      </c>
      <c r="M20" s="11">
        <v>6.48361322E9</v>
      </c>
      <c r="N20" s="11" t="str">
        <f t="shared" si="2"/>
        <v>2602058-1
2602058-2
2602058-3</v>
      </c>
      <c r="O20" s="11" t="s">
        <v>22</v>
      </c>
      <c r="P20" s="11" t="s">
        <v>23</v>
      </c>
      <c r="Q20" s="11" t="s">
        <v>50</v>
      </c>
    </row>
    <row r="21">
      <c r="E21" s="37"/>
      <c r="K21" s="2"/>
      <c r="L21" s="2"/>
    </row>
    <row r="22">
      <c r="E22" s="37"/>
      <c r="K22" s="2"/>
      <c r="L22" s="2"/>
    </row>
    <row r="23">
      <c r="E23" s="37"/>
      <c r="K23" s="2"/>
      <c r="L23" s="2"/>
    </row>
    <row r="24">
      <c r="E24" s="37"/>
      <c r="K24" s="2"/>
      <c r="L24" s="2"/>
    </row>
    <row r="25">
      <c r="E25" s="37"/>
      <c r="K25" s="2"/>
      <c r="L25" s="2"/>
    </row>
    <row r="26">
      <c r="E26" s="37"/>
      <c r="K26" s="2"/>
      <c r="L26" s="2"/>
    </row>
    <row r="27">
      <c r="E27" s="37"/>
      <c r="K27" s="2"/>
      <c r="L27" s="2"/>
    </row>
    <row r="28">
      <c r="E28" s="37"/>
      <c r="K28" s="2"/>
      <c r="L28" s="2"/>
    </row>
    <row r="29">
      <c r="E29" s="37"/>
      <c r="K29" s="2"/>
      <c r="L29" s="2"/>
    </row>
    <row r="30">
      <c r="E30" s="37"/>
      <c r="K30" s="2"/>
      <c r="L30" s="2"/>
    </row>
    <row r="31">
      <c r="E31" s="37"/>
      <c r="K31" s="2"/>
      <c r="L31" s="2"/>
    </row>
    <row r="32">
      <c r="E32" s="37"/>
      <c r="K32" s="2"/>
      <c r="L32" s="2"/>
    </row>
    <row r="33">
      <c r="E33" s="37"/>
      <c r="K33" s="2"/>
      <c r="L33" s="2"/>
    </row>
    <row r="34">
      <c r="E34" s="37"/>
      <c r="K34" s="2"/>
      <c r="L34" s="2"/>
    </row>
    <row r="35">
      <c r="E35" s="37"/>
      <c r="K35" s="2"/>
      <c r="L35" s="2"/>
    </row>
    <row r="36">
      <c r="E36" s="37"/>
      <c r="K36" s="2"/>
      <c r="L36" s="2"/>
    </row>
    <row r="37">
      <c r="E37" s="37"/>
      <c r="K37" s="2"/>
      <c r="L37" s="2"/>
    </row>
    <row r="38">
      <c r="E38" s="37"/>
      <c r="K38" s="2"/>
      <c r="L38" s="2"/>
    </row>
    <row r="39">
      <c r="E39" s="37"/>
      <c r="K39" s="2"/>
      <c r="L39" s="2"/>
    </row>
    <row r="40">
      <c r="E40" s="37"/>
      <c r="K40" s="2"/>
      <c r="L40" s="2"/>
    </row>
    <row r="41">
      <c r="E41" s="37"/>
      <c r="K41" s="2"/>
      <c r="L41" s="2"/>
    </row>
    <row r="42">
      <c r="E42" s="37"/>
      <c r="K42" s="2"/>
      <c r="L42" s="2"/>
    </row>
    <row r="43">
      <c r="E43" s="37"/>
      <c r="K43" s="2"/>
      <c r="L43" s="2"/>
    </row>
    <row r="44">
      <c r="E44" s="37"/>
      <c r="K44" s="2"/>
      <c r="L44" s="2"/>
    </row>
    <row r="45">
      <c r="E45" s="37"/>
      <c r="K45" s="2"/>
      <c r="L45" s="2"/>
    </row>
    <row r="46">
      <c r="E46" s="37"/>
      <c r="K46" s="2"/>
      <c r="L46" s="2"/>
    </row>
    <row r="47">
      <c r="E47" s="37"/>
      <c r="K47" s="2"/>
      <c r="L47" s="2"/>
    </row>
    <row r="48">
      <c r="E48" s="37"/>
      <c r="K48" s="2"/>
      <c r="L48" s="2"/>
    </row>
    <row r="49">
      <c r="E49" s="37"/>
      <c r="K49" s="2"/>
      <c r="L49" s="2"/>
    </row>
    <row r="50">
      <c r="E50" s="37"/>
      <c r="K50" s="2"/>
      <c r="L50" s="2"/>
    </row>
    <row r="51">
      <c r="E51" s="37"/>
      <c r="K51" s="2"/>
      <c r="L51" s="2"/>
    </row>
    <row r="52">
      <c r="E52" s="37"/>
      <c r="K52" s="2"/>
      <c r="L52" s="2"/>
    </row>
    <row r="53">
      <c r="E53" s="37"/>
      <c r="K53" s="2"/>
      <c r="L53" s="2"/>
    </row>
    <row r="54">
      <c r="E54" s="37"/>
      <c r="K54" s="2"/>
      <c r="L54" s="2"/>
    </row>
    <row r="55">
      <c r="E55" s="37"/>
      <c r="K55" s="2"/>
      <c r="L55" s="2"/>
    </row>
    <row r="56">
      <c r="E56" s="37"/>
      <c r="K56" s="2"/>
      <c r="L56" s="2"/>
    </row>
    <row r="57">
      <c r="E57" s="37"/>
      <c r="K57" s="2"/>
      <c r="L57" s="2"/>
    </row>
    <row r="58">
      <c r="E58" s="37"/>
      <c r="K58" s="2"/>
      <c r="L58" s="2"/>
    </row>
    <row r="59">
      <c r="E59" s="37"/>
      <c r="K59" s="2"/>
      <c r="L59" s="2"/>
    </row>
    <row r="60">
      <c r="E60" s="37"/>
      <c r="K60" s="2"/>
      <c r="L60" s="2"/>
    </row>
    <row r="61">
      <c r="E61" s="37"/>
      <c r="K61" s="2"/>
      <c r="L61" s="2"/>
    </row>
    <row r="62">
      <c r="E62" s="37"/>
      <c r="K62" s="2"/>
      <c r="L62" s="2"/>
    </row>
    <row r="63">
      <c r="E63" s="37"/>
      <c r="K63" s="2"/>
      <c r="L63" s="2"/>
    </row>
    <row r="64">
      <c r="E64" s="37"/>
      <c r="K64" s="2"/>
      <c r="L64" s="2"/>
    </row>
    <row r="65">
      <c r="E65" s="37"/>
      <c r="K65" s="2"/>
      <c r="L65" s="2"/>
    </row>
    <row r="66">
      <c r="E66" s="37"/>
      <c r="K66" s="2"/>
      <c r="L66" s="2"/>
    </row>
    <row r="67">
      <c r="E67" s="37"/>
      <c r="K67" s="2"/>
      <c r="L67" s="2"/>
    </row>
    <row r="68">
      <c r="E68" s="37"/>
      <c r="K68" s="2"/>
      <c r="L68" s="2"/>
    </row>
    <row r="69">
      <c r="E69" s="37"/>
      <c r="K69" s="2"/>
      <c r="L69" s="2"/>
    </row>
    <row r="70">
      <c r="E70" s="37"/>
      <c r="K70" s="2"/>
      <c r="L70" s="2"/>
    </row>
    <row r="71">
      <c r="E71" s="37"/>
      <c r="K71" s="2"/>
      <c r="L71" s="2"/>
    </row>
    <row r="72">
      <c r="E72" s="37"/>
      <c r="K72" s="2"/>
      <c r="L72" s="2"/>
    </row>
    <row r="73">
      <c r="E73" s="37"/>
      <c r="K73" s="2"/>
      <c r="L73" s="2"/>
    </row>
    <row r="74">
      <c r="E74" s="37"/>
      <c r="K74" s="2"/>
      <c r="L74" s="2"/>
    </row>
    <row r="75">
      <c r="E75" s="37"/>
      <c r="K75" s="2"/>
      <c r="L75" s="2"/>
    </row>
    <row r="76">
      <c r="E76" s="37"/>
      <c r="K76" s="2"/>
      <c r="L76" s="2"/>
    </row>
    <row r="77">
      <c r="E77" s="37"/>
      <c r="K77" s="2"/>
      <c r="L77" s="2"/>
    </row>
    <row r="78">
      <c r="E78" s="37"/>
      <c r="K78" s="2"/>
      <c r="L78" s="2"/>
    </row>
    <row r="79">
      <c r="E79" s="37"/>
      <c r="K79" s="2"/>
      <c r="L79" s="2"/>
    </row>
    <row r="80">
      <c r="E80" s="37"/>
      <c r="K80" s="2"/>
      <c r="L80" s="2"/>
    </row>
    <row r="81">
      <c r="E81" s="37"/>
      <c r="K81" s="2"/>
      <c r="L81" s="2"/>
    </row>
    <row r="82">
      <c r="E82" s="37"/>
      <c r="K82" s="2"/>
      <c r="L82" s="2"/>
    </row>
    <row r="83">
      <c r="E83" s="37"/>
      <c r="K83" s="2"/>
      <c r="L83" s="2"/>
    </row>
    <row r="84">
      <c r="E84" s="37"/>
      <c r="K84" s="2"/>
      <c r="L84" s="2"/>
    </row>
    <row r="85">
      <c r="E85" s="37"/>
      <c r="K85" s="2"/>
      <c r="L85" s="2"/>
    </row>
    <row r="86">
      <c r="E86" s="37"/>
      <c r="K86" s="2"/>
      <c r="L86" s="2"/>
    </row>
    <row r="87">
      <c r="E87" s="37"/>
      <c r="K87" s="2"/>
      <c r="L87" s="2"/>
    </row>
    <row r="88">
      <c r="E88" s="37"/>
      <c r="K88" s="2"/>
      <c r="L88" s="2"/>
    </row>
    <row r="89">
      <c r="E89" s="37"/>
      <c r="K89" s="2"/>
      <c r="L89" s="2"/>
    </row>
    <row r="90">
      <c r="E90" s="37"/>
      <c r="K90" s="2"/>
      <c r="L90" s="2"/>
    </row>
    <row r="91">
      <c r="E91" s="37"/>
      <c r="K91" s="2"/>
      <c r="L91" s="2"/>
    </row>
    <row r="92">
      <c r="E92" s="37"/>
      <c r="K92" s="2"/>
      <c r="L92" s="2"/>
    </row>
    <row r="93">
      <c r="E93" s="37"/>
      <c r="K93" s="2"/>
      <c r="L93" s="2"/>
    </row>
    <row r="94">
      <c r="E94" s="37"/>
      <c r="K94" s="2"/>
      <c r="L94" s="2"/>
    </row>
    <row r="95">
      <c r="E95" s="37"/>
      <c r="K95" s="2"/>
      <c r="L95" s="2"/>
    </row>
    <row r="96">
      <c r="E96" s="37"/>
      <c r="K96" s="2"/>
      <c r="L96" s="2"/>
    </row>
    <row r="97">
      <c r="E97" s="37"/>
      <c r="K97" s="2"/>
      <c r="L97" s="2"/>
    </row>
    <row r="98">
      <c r="E98" s="37"/>
      <c r="K98" s="2"/>
      <c r="L98" s="2"/>
    </row>
    <row r="99">
      <c r="E99" s="37"/>
      <c r="K99" s="2"/>
      <c r="L99" s="2"/>
    </row>
    <row r="100">
      <c r="E100" s="37"/>
      <c r="K100" s="2"/>
      <c r="L100" s="2"/>
    </row>
    <row r="101">
      <c r="E101" s="37"/>
      <c r="K101" s="2"/>
      <c r="L101" s="2"/>
    </row>
    <row r="102">
      <c r="E102" s="37"/>
      <c r="K102" s="2"/>
      <c r="L102" s="2"/>
    </row>
    <row r="103">
      <c r="E103" s="37"/>
      <c r="K103" s="2"/>
      <c r="L103" s="2"/>
    </row>
    <row r="104">
      <c r="E104" s="37"/>
      <c r="K104" s="2"/>
      <c r="L104" s="2"/>
    </row>
    <row r="105">
      <c r="E105" s="37"/>
      <c r="K105" s="2"/>
      <c r="L105" s="2"/>
    </row>
    <row r="106">
      <c r="E106" s="37"/>
      <c r="K106" s="2"/>
      <c r="L106" s="2"/>
    </row>
    <row r="107">
      <c r="E107" s="37"/>
      <c r="K107" s="2"/>
      <c r="L107" s="2"/>
    </row>
    <row r="108">
      <c r="E108" s="37"/>
      <c r="K108" s="2"/>
      <c r="L108" s="2"/>
    </row>
    <row r="109">
      <c r="E109" s="37"/>
      <c r="K109" s="2"/>
      <c r="L109" s="2"/>
    </row>
    <row r="110">
      <c r="E110" s="37"/>
      <c r="K110" s="2"/>
      <c r="L110" s="2"/>
    </row>
    <row r="111">
      <c r="E111" s="37"/>
      <c r="K111" s="2"/>
      <c r="L111" s="2"/>
    </row>
    <row r="112">
      <c r="E112" s="37"/>
      <c r="K112" s="2"/>
      <c r="L112" s="2"/>
    </row>
    <row r="113">
      <c r="E113" s="37"/>
      <c r="K113" s="2"/>
      <c r="L113" s="2"/>
    </row>
    <row r="114">
      <c r="E114" s="37"/>
      <c r="K114" s="2"/>
      <c r="L114" s="2"/>
    </row>
    <row r="115">
      <c r="E115" s="37"/>
      <c r="K115" s="2"/>
      <c r="L115" s="2"/>
    </row>
    <row r="116">
      <c r="E116" s="37"/>
      <c r="K116" s="2"/>
      <c r="L116" s="2"/>
    </row>
    <row r="117">
      <c r="E117" s="37"/>
      <c r="K117" s="2"/>
      <c r="L117" s="2"/>
    </row>
    <row r="118">
      <c r="E118" s="37"/>
      <c r="K118" s="2"/>
      <c r="L118" s="2"/>
    </row>
    <row r="119">
      <c r="E119" s="37"/>
      <c r="K119" s="2"/>
      <c r="L119" s="2"/>
    </row>
    <row r="120">
      <c r="E120" s="37"/>
      <c r="K120" s="2"/>
      <c r="L120" s="2"/>
    </row>
    <row r="121">
      <c r="E121" s="37"/>
      <c r="K121" s="2"/>
      <c r="L121" s="2"/>
    </row>
    <row r="122">
      <c r="E122" s="37"/>
      <c r="K122" s="2"/>
      <c r="L122" s="2"/>
    </row>
    <row r="123">
      <c r="E123" s="37"/>
      <c r="K123" s="2"/>
      <c r="L123" s="2"/>
    </row>
    <row r="124">
      <c r="E124" s="37"/>
      <c r="K124" s="2"/>
      <c r="L124" s="2"/>
    </row>
    <row r="125">
      <c r="E125" s="37"/>
      <c r="K125" s="2"/>
      <c r="L125" s="2"/>
    </row>
    <row r="126">
      <c r="E126" s="37"/>
      <c r="K126" s="2"/>
      <c r="L126" s="2"/>
    </row>
    <row r="127">
      <c r="E127" s="37"/>
      <c r="K127" s="2"/>
      <c r="L127" s="2"/>
    </row>
    <row r="128">
      <c r="E128" s="37"/>
      <c r="K128" s="2"/>
      <c r="L128" s="2"/>
    </row>
    <row r="129">
      <c r="E129" s="37"/>
      <c r="K129" s="2"/>
      <c r="L129" s="2"/>
    </row>
    <row r="130">
      <c r="E130" s="37"/>
      <c r="K130" s="2"/>
      <c r="L130" s="2"/>
    </row>
    <row r="131">
      <c r="E131" s="37"/>
      <c r="K131" s="2"/>
      <c r="L131" s="2"/>
    </row>
    <row r="132">
      <c r="E132" s="37"/>
      <c r="K132" s="2"/>
      <c r="L132" s="2"/>
    </row>
    <row r="133">
      <c r="E133" s="37"/>
      <c r="K133" s="2"/>
      <c r="L133" s="2"/>
    </row>
    <row r="134">
      <c r="E134" s="37"/>
      <c r="K134" s="2"/>
      <c r="L134" s="2"/>
    </row>
    <row r="135">
      <c r="E135" s="37"/>
      <c r="K135" s="2"/>
      <c r="L135" s="2"/>
    </row>
    <row r="136">
      <c r="E136" s="37"/>
      <c r="K136" s="2"/>
      <c r="L136" s="2"/>
    </row>
    <row r="137">
      <c r="E137" s="37"/>
      <c r="K137" s="2"/>
      <c r="L137" s="2"/>
    </row>
    <row r="138">
      <c r="E138" s="37"/>
      <c r="K138" s="2"/>
      <c r="L138" s="2"/>
    </row>
    <row r="139">
      <c r="E139" s="37"/>
      <c r="K139" s="2"/>
      <c r="L139" s="2"/>
    </row>
    <row r="140">
      <c r="E140" s="37"/>
      <c r="K140" s="2"/>
      <c r="L140" s="2"/>
    </row>
    <row r="141">
      <c r="E141" s="37"/>
      <c r="K141" s="2"/>
      <c r="L141" s="2"/>
    </row>
    <row r="142">
      <c r="E142" s="37"/>
      <c r="K142" s="2"/>
      <c r="L142" s="2"/>
    </row>
    <row r="143">
      <c r="E143" s="37"/>
      <c r="K143" s="2"/>
      <c r="L143" s="2"/>
    </row>
    <row r="144">
      <c r="E144" s="37"/>
      <c r="K144" s="2"/>
      <c r="L144" s="2"/>
    </row>
    <row r="145">
      <c r="E145" s="37"/>
      <c r="K145" s="2"/>
      <c r="L145" s="2"/>
    </row>
    <row r="146">
      <c r="E146" s="37"/>
      <c r="K146" s="2"/>
      <c r="L146" s="2"/>
    </row>
    <row r="147">
      <c r="E147" s="37"/>
      <c r="K147" s="2"/>
      <c r="L147" s="2"/>
    </row>
    <row r="148">
      <c r="E148" s="37"/>
      <c r="K148" s="2"/>
      <c r="L148" s="2"/>
    </row>
    <row r="149">
      <c r="E149" s="37"/>
      <c r="K149" s="2"/>
      <c r="L149" s="2"/>
    </row>
    <row r="150">
      <c r="E150" s="37"/>
      <c r="K150" s="2"/>
      <c r="L150" s="2"/>
    </row>
    <row r="151">
      <c r="E151" s="37"/>
      <c r="K151" s="2"/>
      <c r="L151" s="2"/>
    </row>
    <row r="152">
      <c r="E152" s="37"/>
      <c r="K152" s="2"/>
      <c r="L152" s="2"/>
    </row>
    <row r="153">
      <c r="E153" s="37"/>
      <c r="K153" s="2"/>
      <c r="L153" s="2"/>
    </row>
    <row r="154">
      <c r="E154" s="37"/>
      <c r="K154" s="2"/>
      <c r="L154" s="2"/>
    </row>
    <row r="155">
      <c r="E155" s="37"/>
      <c r="K155" s="2"/>
      <c r="L155" s="2"/>
    </row>
    <row r="156">
      <c r="E156" s="37"/>
      <c r="K156" s="2"/>
      <c r="L156" s="2"/>
    </row>
    <row r="157">
      <c r="E157" s="37"/>
      <c r="K157" s="2"/>
      <c r="L157" s="2"/>
    </row>
    <row r="158">
      <c r="E158" s="37"/>
      <c r="K158" s="2"/>
      <c r="L158" s="2"/>
    </row>
    <row r="159">
      <c r="E159" s="37"/>
      <c r="K159" s="2"/>
      <c r="L159" s="2"/>
    </row>
    <row r="160">
      <c r="E160" s="37"/>
      <c r="K160" s="2"/>
      <c r="L160" s="2"/>
    </row>
    <row r="161">
      <c r="E161" s="37"/>
      <c r="K161" s="2"/>
      <c r="L161" s="2"/>
    </row>
    <row r="162">
      <c r="E162" s="37"/>
      <c r="K162" s="2"/>
      <c r="L162" s="2"/>
    </row>
    <row r="163">
      <c r="E163" s="37"/>
      <c r="K163" s="2"/>
      <c r="L163" s="2"/>
    </row>
    <row r="164">
      <c r="E164" s="37"/>
      <c r="K164" s="2"/>
      <c r="L164" s="2"/>
    </row>
    <row r="165">
      <c r="E165" s="37"/>
      <c r="K165" s="2"/>
      <c r="L165" s="2"/>
    </row>
    <row r="166">
      <c r="E166" s="37"/>
      <c r="K166" s="2"/>
      <c r="L166" s="2"/>
    </row>
    <row r="167">
      <c r="E167" s="37"/>
      <c r="K167" s="2"/>
      <c r="L167" s="2"/>
    </row>
    <row r="168">
      <c r="E168" s="37"/>
      <c r="K168" s="2"/>
      <c r="L168" s="2"/>
    </row>
    <row r="169">
      <c r="E169" s="37"/>
      <c r="K169" s="2"/>
      <c r="L169" s="2"/>
    </row>
    <row r="170">
      <c r="E170" s="37"/>
      <c r="K170" s="2"/>
      <c r="L170" s="2"/>
    </row>
    <row r="171">
      <c r="E171" s="37"/>
      <c r="K171" s="2"/>
      <c r="L171" s="2"/>
    </row>
    <row r="172">
      <c r="E172" s="37"/>
      <c r="K172" s="2"/>
      <c r="L172" s="2"/>
    </row>
    <row r="173">
      <c r="E173" s="37"/>
      <c r="K173" s="2"/>
      <c r="L173" s="2"/>
    </row>
    <row r="174">
      <c r="E174" s="37"/>
      <c r="K174" s="2"/>
      <c r="L174" s="2"/>
    </row>
    <row r="175">
      <c r="E175" s="37"/>
      <c r="K175" s="2"/>
      <c r="L175" s="2"/>
    </row>
    <row r="176">
      <c r="E176" s="37"/>
      <c r="K176" s="2"/>
      <c r="L176" s="2"/>
    </row>
    <row r="177">
      <c r="E177" s="37"/>
      <c r="K177" s="2"/>
      <c r="L177" s="2"/>
    </row>
    <row r="178">
      <c r="E178" s="37"/>
      <c r="K178" s="2"/>
      <c r="L178" s="2"/>
    </row>
    <row r="179">
      <c r="E179" s="37"/>
      <c r="K179" s="2"/>
      <c r="L179" s="2"/>
    </row>
    <row r="180">
      <c r="E180" s="37"/>
      <c r="K180" s="2"/>
      <c r="L180" s="2"/>
    </row>
    <row r="181">
      <c r="E181" s="37"/>
      <c r="K181" s="2"/>
      <c r="L181" s="2"/>
    </row>
    <row r="182">
      <c r="E182" s="37"/>
      <c r="K182" s="2"/>
      <c r="L182" s="2"/>
    </row>
    <row r="183">
      <c r="E183" s="37"/>
      <c r="K183" s="2"/>
      <c r="L183" s="2"/>
    </row>
    <row r="184">
      <c r="E184" s="37"/>
      <c r="K184" s="2"/>
      <c r="L184" s="2"/>
    </row>
    <row r="185">
      <c r="E185" s="37"/>
      <c r="K185" s="2"/>
      <c r="L185" s="2"/>
    </row>
    <row r="186">
      <c r="E186" s="37"/>
      <c r="K186" s="2"/>
      <c r="L186" s="2"/>
    </row>
    <row r="187">
      <c r="E187" s="37"/>
      <c r="K187" s="2"/>
      <c r="L187" s="2"/>
    </row>
    <row r="188">
      <c r="E188" s="37"/>
      <c r="K188" s="2"/>
      <c r="L188" s="2"/>
    </row>
    <row r="189">
      <c r="E189" s="37"/>
      <c r="K189" s="2"/>
      <c r="L189" s="2"/>
    </row>
    <row r="190">
      <c r="E190" s="37"/>
      <c r="K190" s="2"/>
      <c r="L190" s="2"/>
    </row>
    <row r="191">
      <c r="E191" s="37"/>
      <c r="K191" s="2"/>
      <c r="L191" s="2"/>
    </row>
    <row r="192">
      <c r="E192" s="37"/>
      <c r="K192" s="2"/>
      <c r="L192" s="2"/>
    </row>
    <row r="193">
      <c r="E193" s="37"/>
      <c r="K193" s="2"/>
      <c r="L193" s="2"/>
    </row>
    <row r="194">
      <c r="E194" s="37"/>
      <c r="K194" s="2"/>
      <c r="L194" s="2"/>
    </row>
    <row r="195">
      <c r="E195" s="37"/>
      <c r="K195" s="2"/>
      <c r="L195" s="2"/>
    </row>
    <row r="196">
      <c r="E196" s="37"/>
      <c r="K196" s="2"/>
      <c r="L196" s="2"/>
    </row>
    <row r="197">
      <c r="E197" s="37"/>
      <c r="K197" s="2"/>
      <c r="L197" s="2"/>
    </row>
    <row r="198">
      <c r="E198" s="37"/>
      <c r="K198" s="2"/>
      <c r="L198" s="2"/>
    </row>
    <row r="199">
      <c r="E199" s="37"/>
      <c r="K199" s="2"/>
      <c r="L199" s="2"/>
    </row>
    <row r="200">
      <c r="E200" s="37"/>
      <c r="K200" s="2"/>
      <c r="L200" s="2"/>
    </row>
    <row r="201">
      <c r="E201" s="37"/>
      <c r="K201" s="2"/>
      <c r="L201" s="2"/>
    </row>
    <row r="202">
      <c r="E202" s="37"/>
      <c r="K202" s="2"/>
      <c r="L202" s="2"/>
    </row>
    <row r="203">
      <c r="E203" s="37"/>
      <c r="K203" s="2"/>
      <c r="L203" s="2"/>
    </row>
    <row r="204">
      <c r="E204" s="37"/>
      <c r="K204" s="2"/>
      <c r="L204" s="2"/>
    </row>
    <row r="205">
      <c r="E205" s="37"/>
      <c r="K205" s="2"/>
      <c r="L205" s="2"/>
    </row>
    <row r="206">
      <c r="E206" s="37"/>
      <c r="K206" s="2"/>
      <c r="L206" s="2"/>
    </row>
    <row r="207">
      <c r="E207" s="37"/>
      <c r="K207" s="2"/>
      <c r="L207" s="2"/>
    </row>
    <row r="208">
      <c r="E208" s="37"/>
      <c r="K208" s="2"/>
      <c r="L208" s="2"/>
    </row>
    <row r="209">
      <c r="E209" s="37"/>
      <c r="K209" s="2"/>
      <c r="L209" s="2"/>
    </row>
    <row r="210">
      <c r="E210" s="37"/>
      <c r="K210" s="2"/>
      <c r="L210" s="2"/>
    </row>
    <row r="211">
      <c r="E211" s="37"/>
      <c r="K211" s="2"/>
      <c r="L211" s="2"/>
    </row>
    <row r="212">
      <c r="E212" s="37"/>
      <c r="K212" s="2"/>
      <c r="L212" s="2"/>
    </row>
    <row r="213">
      <c r="E213" s="37"/>
      <c r="K213" s="2"/>
      <c r="L213" s="2"/>
    </row>
    <row r="214">
      <c r="E214" s="37"/>
      <c r="K214" s="2"/>
      <c r="L214" s="2"/>
    </row>
    <row r="215">
      <c r="E215" s="37"/>
      <c r="K215" s="2"/>
      <c r="L215" s="2"/>
    </row>
    <row r="216">
      <c r="E216" s="37"/>
      <c r="K216" s="2"/>
      <c r="L216" s="2"/>
    </row>
    <row r="217">
      <c r="E217" s="37"/>
      <c r="K217" s="2"/>
      <c r="L217" s="2"/>
    </row>
    <row r="218">
      <c r="E218" s="37"/>
      <c r="K218" s="2"/>
      <c r="L218" s="2"/>
    </row>
    <row r="219">
      <c r="E219" s="37"/>
      <c r="K219" s="2"/>
      <c r="L219" s="2"/>
    </row>
    <row r="220">
      <c r="E220" s="37"/>
      <c r="K220" s="2"/>
      <c r="L220" s="2"/>
    </row>
    <row r="221">
      <c r="E221" s="37"/>
      <c r="K221" s="2"/>
      <c r="L221" s="2"/>
    </row>
    <row r="222">
      <c r="E222" s="37"/>
      <c r="K222" s="2"/>
      <c r="L222" s="2"/>
    </row>
    <row r="223">
      <c r="E223" s="37"/>
      <c r="K223" s="2"/>
      <c r="L223" s="2"/>
    </row>
    <row r="224">
      <c r="E224" s="37"/>
      <c r="K224" s="2"/>
      <c r="L224" s="2"/>
    </row>
    <row r="225">
      <c r="E225" s="37"/>
      <c r="K225" s="2"/>
      <c r="L225" s="2"/>
    </row>
    <row r="226">
      <c r="E226" s="37"/>
      <c r="K226" s="2"/>
      <c r="L226" s="2"/>
    </row>
    <row r="227">
      <c r="E227" s="37"/>
      <c r="K227" s="2"/>
      <c r="L227" s="2"/>
    </row>
    <row r="228">
      <c r="E228" s="37"/>
      <c r="K228" s="2"/>
      <c r="L228" s="2"/>
    </row>
    <row r="229">
      <c r="E229" s="37"/>
      <c r="K229" s="2"/>
      <c r="L229" s="2"/>
    </row>
    <row r="230">
      <c r="E230" s="37"/>
      <c r="K230" s="2"/>
      <c r="L230" s="2"/>
    </row>
    <row r="231">
      <c r="E231" s="37"/>
      <c r="K231" s="2"/>
      <c r="L231" s="2"/>
    </row>
    <row r="232">
      <c r="E232" s="37"/>
      <c r="K232" s="2"/>
      <c r="L232" s="2"/>
    </row>
    <row r="233">
      <c r="E233" s="37"/>
      <c r="K233" s="2"/>
      <c r="L233" s="2"/>
    </row>
    <row r="234">
      <c r="E234" s="37"/>
      <c r="K234" s="2"/>
      <c r="L234" s="2"/>
    </row>
    <row r="235">
      <c r="E235" s="37"/>
      <c r="K235" s="2"/>
      <c r="L235" s="2"/>
    </row>
    <row r="236">
      <c r="E236" s="37"/>
      <c r="K236" s="2"/>
      <c r="L236" s="2"/>
    </row>
    <row r="237">
      <c r="E237" s="37"/>
      <c r="K237" s="2"/>
      <c r="L237" s="2"/>
    </row>
    <row r="238">
      <c r="E238" s="37"/>
      <c r="K238" s="2"/>
      <c r="L238" s="2"/>
    </row>
    <row r="239">
      <c r="E239" s="37"/>
      <c r="K239" s="2"/>
      <c r="L239" s="2"/>
    </row>
    <row r="240">
      <c r="E240" s="37"/>
      <c r="K240" s="2"/>
      <c r="L240" s="2"/>
    </row>
    <row r="241">
      <c r="E241" s="37"/>
      <c r="K241" s="2"/>
      <c r="L241" s="2"/>
    </row>
    <row r="242">
      <c r="E242" s="37"/>
      <c r="K242" s="2"/>
      <c r="L242" s="2"/>
    </row>
    <row r="243">
      <c r="E243" s="37"/>
      <c r="K243" s="2"/>
      <c r="L243" s="2"/>
    </row>
    <row r="244">
      <c r="E244" s="37"/>
      <c r="K244" s="2"/>
      <c r="L244" s="2"/>
    </row>
    <row r="245">
      <c r="E245" s="37"/>
      <c r="K245" s="2"/>
      <c r="L245" s="2"/>
    </row>
    <row r="246">
      <c r="E246" s="37"/>
      <c r="K246" s="2"/>
      <c r="L246" s="2"/>
    </row>
    <row r="247">
      <c r="E247" s="37"/>
      <c r="K247" s="2"/>
      <c r="L247" s="2"/>
    </row>
    <row r="248">
      <c r="E248" s="37"/>
      <c r="K248" s="2"/>
      <c r="L248" s="2"/>
    </row>
    <row r="249">
      <c r="E249" s="37"/>
      <c r="K249" s="2"/>
      <c r="L249" s="2"/>
    </row>
    <row r="250">
      <c r="E250" s="37"/>
      <c r="K250" s="2"/>
      <c r="L250" s="2"/>
    </row>
    <row r="251">
      <c r="E251" s="37"/>
      <c r="K251" s="2"/>
      <c r="L251" s="2"/>
    </row>
    <row r="252">
      <c r="E252" s="37"/>
      <c r="K252" s="2"/>
      <c r="L252" s="2"/>
    </row>
    <row r="253">
      <c r="E253" s="37"/>
      <c r="K253" s="2"/>
      <c r="L253" s="2"/>
    </row>
    <row r="254">
      <c r="E254" s="37"/>
      <c r="K254" s="2"/>
      <c r="L254" s="2"/>
    </row>
    <row r="255">
      <c r="E255" s="37"/>
      <c r="K255" s="2"/>
      <c r="L255" s="2"/>
    </row>
    <row r="256">
      <c r="E256" s="37"/>
      <c r="K256" s="2"/>
      <c r="L256" s="2"/>
    </row>
    <row r="257">
      <c r="E257" s="37"/>
      <c r="K257" s="2"/>
      <c r="L257" s="2"/>
    </row>
    <row r="258">
      <c r="E258" s="37"/>
      <c r="K258" s="2"/>
      <c r="L258" s="2"/>
    </row>
    <row r="259">
      <c r="E259" s="37"/>
      <c r="K259" s="2"/>
      <c r="L259" s="2"/>
    </row>
    <row r="260">
      <c r="E260" s="37"/>
      <c r="K260" s="2"/>
      <c r="L260" s="2"/>
    </row>
    <row r="261">
      <c r="E261" s="37"/>
      <c r="K261" s="2"/>
      <c r="L261" s="2"/>
    </row>
    <row r="262">
      <c r="E262" s="37"/>
      <c r="K262" s="2"/>
      <c r="L262" s="2"/>
    </row>
    <row r="263">
      <c r="E263" s="37"/>
      <c r="K263" s="2"/>
      <c r="L263" s="2"/>
    </row>
    <row r="264">
      <c r="E264" s="37"/>
      <c r="K264" s="2"/>
      <c r="L264" s="2"/>
    </row>
    <row r="265">
      <c r="E265" s="37"/>
      <c r="K265" s="2"/>
      <c r="L265" s="2"/>
    </row>
    <row r="266">
      <c r="E266" s="37"/>
      <c r="K266" s="2"/>
      <c r="L266" s="2"/>
    </row>
    <row r="267">
      <c r="E267" s="37"/>
      <c r="K267" s="2"/>
      <c r="L267" s="2"/>
    </row>
    <row r="268">
      <c r="E268" s="37"/>
      <c r="K268" s="2"/>
      <c r="L268" s="2"/>
    </row>
    <row r="269">
      <c r="E269" s="37"/>
      <c r="K269" s="2"/>
      <c r="L269" s="2"/>
    </row>
    <row r="270">
      <c r="E270" s="37"/>
      <c r="K270" s="2"/>
      <c r="L270" s="2"/>
    </row>
    <row r="271">
      <c r="E271" s="37"/>
      <c r="K271" s="2"/>
      <c r="L271" s="2"/>
    </row>
    <row r="272">
      <c r="E272" s="37"/>
      <c r="K272" s="2"/>
      <c r="L272" s="2"/>
    </row>
    <row r="273">
      <c r="E273" s="37"/>
      <c r="K273" s="2"/>
      <c r="L273" s="2"/>
    </row>
    <row r="274">
      <c r="E274" s="37"/>
      <c r="K274" s="2"/>
      <c r="L274" s="2"/>
    </row>
    <row r="275">
      <c r="E275" s="37"/>
      <c r="K275" s="2"/>
      <c r="L275" s="2"/>
    </row>
    <row r="276">
      <c r="E276" s="37"/>
      <c r="K276" s="2"/>
      <c r="L276" s="2"/>
    </row>
    <row r="277">
      <c r="E277" s="37"/>
      <c r="K277" s="2"/>
      <c r="L277" s="2"/>
    </row>
    <row r="278">
      <c r="E278" s="37"/>
      <c r="K278" s="2"/>
      <c r="L278" s="2"/>
    </row>
    <row r="279">
      <c r="E279" s="37"/>
      <c r="K279" s="2"/>
      <c r="L279" s="2"/>
    </row>
    <row r="280">
      <c r="E280" s="37"/>
      <c r="K280" s="2"/>
      <c r="L280" s="2"/>
    </row>
    <row r="281">
      <c r="E281" s="37"/>
      <c r="K281" s="2"/>
      <c r="L281" s="2"/>
    </row>
    <row r="282">
      <c r="E282" s="37"/>
      <c r="K282" s="2"/>
      <c r="L282" s="2"/>
    </row>
    <row r="283">
      <c r="E283" s="37"/>
      <c r="K283" s="2"/>
      <c r="L283" s="2"/>
    </row>
    <row r="284">
      <c r="E284" s="37"/>
      <c r="K284" s="2"/>
      <c r="L284" s="2"/>
    </row>
    <row r="285">
      <c r="E285" s="37"/>
      <c r="K285" s="2"/>
      <c r="L285" s="2"/>
    </row>
    <row r="286">
      <c r="E286" s="37"/>
      <c r="K286" s="2"/>
      <c r="L286" s="2"/>
    </row>
    <row r="287">
      <c r="E287" s="37"/>
      <c r="K287" s="2"/>
      <c r="L287" s="2"/>
    </row>
    <row r="288">
      <c r="E288" s="37"/>
      <c r="K288" s="2"/>
      <c r="L288" s="2"/>
    </row>
    <row r="289">
      <c r="E289" s="37"/>
      <c r="K289" s="2"/>
      <c r="L289" s="2"/>
    </row>
    <row r="290">
      <c r="E290" s="37"/>
      <c r="K290" s="2"/>
      <c r="L290" s="2"/>
    </row>
    <row r="291">
      <c r="E291" s="37"/>
      <c r="K291" s="2"/>
      <c r="L291" s="2"/>
    </row>
    <row r="292">
      <c r="E292" s="37"/>
      <c r="K292" s="2"/>
      <c r="L292" s="2"/>
    </row>
    <row r="293">
      <c r="E293" s="37"/>
      <c r="K293" s="2"/>
      <c r="L293" s="2"/>
    </row>
    <row r="294">
      <c r="E294" s="37"/>
      <c r="K294" s="2"/>
      <c r="L294" s="2"/>
    </row>
    <row r="295">
      <c r="E295" s="37"/>
      <c r="K295" s="2"/>
      <c r="L295" s="2"/>
    </row>
    <row r="296">
      <c r="E296" s="37"/>
      <c r="K296" s="2"/>
      <c r="L296" s="2"/>
    </row>
    <row r="297">
      <c r="E297" s="37"/>
      <c r="K297" s="2"/>
      <c r="L297" s="2"/>
    </row>
    <row r="298">
      <c r="E298" s="37"/>
      <c r="K298" s="2"/>
      <c r="L298" s="2"/>
    </row>
    <row r="299">
      <c r="E299" s="37"/>
      <c r="K299" s="2"/>
      <c r="L299" s="2"/>
    </row>
    <row r="300">
      <c r="E300" s="37"/>
      <c r="K300" s="2"/>
      <c r="L300" s="2"/>
    </row>
    <row r="301">
      <c r="E301" s="37"/>
      <c r="K301" s="2"/>
      <c r="L301" s="2"/>
    </row>
    <row r="302">
      <c r="E302" s="37"/>
      <c r="K302" s="2"/>
      <c r="L302" s="2"/>
    </row>
    <row r="303">
      <c r="E303" s="37"/>
      <c r="K303" s="2"/>
      <c r="L303" s="2"/>
    </row>
    <row r="304">
      <c r="E304" s="37"/>
      <c r="K304" s="2"/>
      <c r="L304" s="2"/>
    </row>
    <row r="305">
      <c r="E305" s="37"/>
      <c r="K305" s="2"/>
      <c r="L305" s="2"/>
    </row>
    <row r="306">
      <c r="E306" s="37"/>
      <c r="K306" s="2"/>
      <c r="L306" s="2"/>
    </row>
    <row r="307">
      <c r="E307" s="37"/>
      <c r="K307" s="2"/>
      <c r="L307" s="2"/>
    </row>
    <row r="308">
      <c r="E308" s="37"/>
      <c r="K308" s="2"/>
      <c r="L308" s="2"/>
    </row>
    <row r="309">
      <c r="E309" s="37"/>
      <c r="K309" s="2"/>
      <c r="L309" s="2"/>
    </row>
    <row r="310">
      <c r="E310" s="37"/>
      <c r="K310" s="2"/>
      <c r="L310" s="2"/>
    </row>
    <row r="311">
      <c r="E311" s="37"/>
      <c r="K311" s="2"/>
      <c r="L311" s="2"/>
    </row>
    <row r="312">
      <c r="E312" s="37"/>
      <c r="K312" s="2"/>
      <c r="L312" s="2"/>
    </row>
    <row r="313">
      <c r="E313" s="37"/>
      <c r="K313" s="2"/>
      <c r="L313" s="2"/>
    </row>
    <row r="314">
      <c r="E314" s="37"/>
      <c r="K314" s="2"/>
      <c r="L314" s="2"/>
    </row>
    <row r="315">
      <c r="E315" s="37"/>
      <c r="K315" s="2"/>
      <c r="L315" s="2"/>
    </row>
    <row r="316">
      <c r="E316" s="37"/>
      <c r="K316" s="2"/>
      <c r="L316" s="2"/>
    </row>
    <row r="317">
      <c r="E317" s="37"/>
      <c r="K317" s="2"/>
      <c r="L317" s="2"/>
    </row>
    <row r="318">
      <c r="E318" s="37"/>
      <c r="K318" s="2"/>
      <c r="L318" s="2"/>
    </row>
    <row r="319">
      <c r="E319" s="37"/>
      <c r="K319" s="2"/>
      <c r="L319" s="2"/>
    </row>
    <row r="320">
      <c r="E320" s="37"/>
      <c r="K320" s="2"/>
      <c r="L320" s="2"/>
    </row>
    <row r="321">
      <c r="E321" s="37"/>
      <c r="K321" s="2"/>
      <c r="L321" s="2"/>
    </row>
    <row r="322">
      <c r="E322" s="37"/>
      <c r="K322" s="2"/>
      <c r="L322" s="2"/>
    </row>
    <row r="323">
      <c r="E323" s="37"/>
      <c r="K323" s="2"/>
      <c r="L323" s="2"/>
    </row>
    <row r="324">
      <c r="E324" s="37"/>
      <c r="K324" s="2"/>
      <c r="L324" s="2"/>
    </row>
    <row r="325">
      <c r="E325" s="37"/>
      <c r="K325" s="2"/>
      <c r="L325" s="2"/>
    </row>
    <row r="326">
      <c r="E326" s="37"/>
      <c r="K326" s="2"/>
      <c r="L326" s="2"/>
    </row>
    <row r="327">
      <c r="E327" s="37"/>
      <c r="K327" s="2"/>
      <c r="L327" s="2"/>
    </row>
    <row r="328">
      <c r="E328" s="37"/>
      <c r="K328" s="2"/>
      <c r="L328" s="2"/>
    </row>
    <row r="329">
      <c r="E329" s="37"/>
      <c r="K329" s="2"/>
      <c r="L329" s="2"/>
    </row>
    <row r="330">
      <c r="E330" s="37"/>
      <c r="K330" s="2"/>
      <c r="L330" s="2"/>
    </row>
    <row r="331">
      <c r="E331" s="37"/>
      <c r="K331" s="2"/>
      <c r="L331" s="2"/>
    </row>
    <row r="332">
      <c r="E332" s="37"/>
      <c r="K332" s="2"/>
      <c r="L332" s="2"/>
    </row>
    <row r="333">
      <c r="E333" s="37"/>
      <c r="K333" s="2"/>
      <c r="L333" s="2"/>
    </row>
    <row r="334">
      <c r="E334" s="37"/>
      <c r="K334" s="2"/>
      <c r="L334" s="2"/>
    </row>
    <row r="335">
      <c r="E335" s="37"/>
      <c r="K335" s="2"/>
      <c r="L335" s="2"/>
    </row>
    <row r="336">
      <c r="E336" s="37"/>
      <c r="K336" s="2"/>
      <c r="L336" s="2"/>
    </row>
    <row r="337">
      <c r="E337" s="37"/>
      <c r="K337" s="2"/>
      <c r="L337" s="2"/>
    </row>
    <row r="338">
      <c r="E338" s="37"/>
      <c r="K338" s="2"/>
      <c r="L338" s="2"/>
    </row>
    <row r="339">
      <c r="E339" s="37"/>
      <c r="K339" s="2"/>
      <c r="L339" s="2"/>
    </row>
    <row r="340">
      <c r="E340" s="37"/>
      <c r="K340" s="2"/>
      <c r="L340" s="2"/>
    </row>
    <row r="341">
      <c r="E341" s="37"/>
      <c r="K341" s="2"/>
      <c r="L341" s="2"/>
    </row>
    <row r="342">
      <c r="E342" s="37"/>
      <c r="K342" s="2"/>
      <c r="L342" s="2"/>
    </row>
    <row r="343">
      <c r="E343" s="37"/>
      <c r="K343" s="2"/>
      <c r="L343" s="2"/>
    </row>
    <row r="344">
      <c r="E344" s="37"/>
      <c r="K344" s="2"/>
      <c r="L344" s="2"/>
    </row>
    <row r="345">
      <c r="E345" s="37"/>
      <c r="K345" s="2"/>
      <c r="L345" s="2"/>
    </row>
    <row r="346">
      <c r="E346" s="37"/>
      <c r="K346" s="2"/>
      <c r="L346" s="2"/>
    </row>
    <row r="347">
      <c r="E347" s="37"/>
      <c r="K347" s="2"/>
      <c r="L347" s="2"/>
    </row>
    <row r="348">
      <c r="E348" s="37"/>
      <c r="K348" s="2"/>
      <c r="L348" s="2"/>
    </row>
    <row r="349">
      <c r="E349" s="37"/>
      <c r="K349" s="2"/>
      <c r="L349" s="2"/>
    </row>
    <row r="350">
      <c r="E350" s="37"/>
      <c r="K350" s="2"/>
      <c r="L350" s="2"/>
    </row>
    <row r="351">
      <c r="E351" s="37"/>
      <c r="K351" s="2"/>
      <c r="L351" s="2"/>
    </row>
    <row r="352">
      <c r="E352" s="37"/>
      <c r="K352" s="2"/>
      <c r="L352" s="2"/>
    </row>
    <row r="353">
      <c r="E353" s="37"/>
      <c r="K353" s="2"/>
      <c r="L353" s="2"/>
    </row>
    <row r="354">
      <c r="E354" s="37"/>
      <c r="K354" s="2"/>
      <c r="L354" s="2"/>
    </row>
    <row r="355">
      <c r="E355" s="37"/>
      <c r="K355" s="2"/>
      <c r="L355" s="2"/>
    </row>
    <row r="356">
      <c r="E356" s="37"/>
      <c r="K356" s="2"/>
      <c r="L356" s="2"/>
    </row>
    <row r="357">
      <c r="E357" s="37"/>
      <c r="K357" s="2"/>
      <c r="L357" s="2"/>
    </row>
    <row r="358">
      <c r="E358" s="37"/>
      <c r="K358" s="2"/>
      <c r="L358" s="2"/>
    </row>
    <row r="359">
      <c r="E359" s="37"/>
      <c r="K359" s="2"/>
      <c r="L359" s="2"/>
    </row>
    <row r="360">
      <c r="E360" s="37"/>
      <c r="K360" s="2"/>
      <c r="L360" s="2"/>
    </row>
    <row r="361">
      <c r="E361" s="37"/>
      <c r="K361" s="2"/>
      <c r="L361" s="2"/>
    </row>
    <row r="362">
      <c r="E362" s="37"/>
      <c r="K362" s="2"/>
      <c r="L362" s="2"/>
    </row>
    <row r="363">
      <c r="E363" s="37"/>
      <c r="K363" s="2"/>
      <c r="L363" s="2"/>
    </row>
    <row r="364">
      <c r="E364" s="37"/>
      <c r="K364" s="2"/>
      <c r="L364" s="2"/>
    </row>
    <row r="365">
      <c r="E365" s="37"/>
      <c r="K365" s="2"/>
      <c r="L365" s="2"/>
    </row>
    <row r="366">
      <c r="E366" s="37"/>
      <c r="K366" s="2"/>
      <c r="L366" s="2"/>
    </row>
    <row r="367">
      <c r="E367" s="37"/>
      <c r="K367" s="2"/>
      <c r="L367" s="2"/>
    </row>
    <row r="368">
      <c r="E368" s="37"/>
      <c r="K368" s="2"/>
      <c r="L368" s="2"/>
    </row>
    <row r="369">
      <c r="E369" s="37"/>
      <c r="K369" s="2"/>
      <c r="L369" s="2"/>
    </row>
    <row r="370">
      <c r="E370" s="37"/>
      <c r="K370" s="2"/>
      <c r="L370" s="2"/>
    </row>
    <row r="371">
      <c r="E371" s="37"/>
      <c r="K371" s="2"/>
      <c r="L371" s="2"/>
    </row>
    <row r="372">
      <c r="E372" s="37"/>
      <c r="K372" s="2"/>
      <c r="L372" s="2"/>
    </row>
    <row r="373">
      <c r="E373" s="37"/>
      <c r="K373" s="2"/>
      <c r="L373" s="2"/>
    </row>
    <row r="374">
      <c r="E374" s="37"/>
      <c r="K374" s="2"/>
      <c r="L374" s="2"/>
    </row>
    <row r="375">
      <c r="E375" s="37"/>
      <c r="K375" s="2"/>
      <c r="L375" s="2"/>
    </row>
    <row r="376">
      <c r="E376" s="37"/>
      <c r="K376" s="2"/>
      <c r="L376" s="2"/>
    </row>
    <row r="377">
      <c r="E377" s="37"/>
      <c r="K377" s="2"/>
      <c r="L377" s="2"/>
    </row>
    <row r="378">
      <c r="E378" s="37"/>
      <c r="K378" s="2"/>
      <c r="L378" s="2"/>
    </row>
    <row r="379">
      <c r="E379" s="37"/>
      <c r="K379" s="2"/>
      <c r="L379" s="2"/>
    </row>
    <row r="380">
      <c r="E380" s="37"/>
      <c r="K380" s="2"/>
      <c r="L380" s="2"/>
    </row>
    <row r="381">
      <c r="E381" s="37"/>
      <c r="K381" s="2"/>
      <c r="L381" s="2"/>
    </row>
    <row r="382">
      <c r="E382" s="37"/>
      <c r="K382" s="2"/>
      <c r="L382" s="2"/>
    </row>
    <row r="383">
      <c r="E383" s="37"/>
      <c r="K383" s="2"/>
      <c r="L383" s="2"/>
    </row>
    <row r="384">
      <c r="E384" s="37"/>
      <c r="K384" s="2"/>
      <c r="L384" s="2"/>
    </row>
    <row r="385">
      <c r="E385" s="37"/>
      <c r="K385" s="2"/>
      <c r="L385" s="2"/>
    </row>
    <row r="386">
      <c r="E386" s="37"/>
      <c r="K386" s="2"/>
      <c r="L386" s="2"/>
    </row>
    <row r="387">
      <c r="E387" s="37"/>
      <c r="K387" s="2"/>
      <c r="L387" s="2"/>
    </row>
    <row r="388">
      <c r="E388" s="37"/>
      <c r="K388" s="2"/>
      <c r="L388" s="2"/>
    </row>
    <row r="389">
      <c r="E389" s="37"/>
      <c r="K389" s="2"/>
      <c r="L389" s="2"/>
    </row>
    <row r="390">
      <c r="E390" s="37"/>
      <c r="K390" s="2"/>
      <c r="L390" s="2"/>
    </row>
    <row r="391">
      <c r="E391" s="37"/>
      <c r="K391" s="2"/>
      <c r="L391" s="2"/>
    </row>
    <row r="392">
      <c r="E392" s="37"/>
      <c r="K392" s="2"/>
      <c r="L392" s="2"/>
    </row>
    <row r="393">
      <c r="E393" s="37"/>
      <c r="K393" s="2"/>
      <c r="L393" s="2"/>
    </row>
    <row r="394">
      <c r="E394" s="37"/>
      <c r="K394" s="2"/>
      <c r="L394" s="2"/>
    </row>
    <row r="395">
      <c r="E395" s="37"/>
      <c r="K395" s="2"/>
      <c r="L395" s="2"/>
    </row>
    <row r="396">
      <c r="E396" s="37"/>
      <c r="K396" s="2"/>
      <c r="L396" s="2"/>
    </row>
    <row r="397">
      <c r="E397" s="37"/>
      <c r="K397" s="2"/>
      <c r="L397" s="2"/>
    </row>
    <row r="398">
      <c r="E398" s="37"/>
      <c r="K398" s="2"/>
      <c r="L398" s="2"/>
    </row>
    <row r="399">
      <c r="E399" s="37"/>
      <c r="K399" s="2"/>
      <c r="L399" s="2"/>
    </row>
    <row r="400">
      <c r="E400" s="37"/>
      <c r="K400" s="2"/>
      <c r="L400" s="2"/>
    </row>
    <row r="401">
      <c r="E401" s="37"/>
      <c r="K401" s="2"/>
      <c r="L401" s="2"/>
    </row>
    <row r="402">
      <c r="E402" s="37"/>
      <c r="K402" s="2"/>
      <c r="L402" s="2"/>
    </row>
    <row r="403">
      <c r="E403" s="37"/>
      <c r="K403" s="2"/>
      <c r="L403" s="2"/>
    </row>
    <row r="404">
      <c r="E404" s="37"/>
      <c r="K404" s="2"/>
      <c r="L404" s="2"/>
    </row>
    <row r="405">
      <c r="E405" s="37"/>
      <c r="K405" s="2"/>
      <c r="L405" s="2"/>
    </row>
    <row r="406">
      <c r="E406" s="37"/>
      <c r="K406" s="2"/>
      <c r="L406" s="2"/>
    </row>
    <row r="407">
      <c r="E407" s="37"/>
      <c r="K407" s="2"/>
      <c r="L407" s="2"/>
    </row>
    <row r="408">
      <c r="E408" s="37"/>
      <c r="K408" s="2"/>
      <c r="L408" s="2"/>
    </row>
    <row r="409">
      <c r="E409" s="37"/>
      <c r="K409" s="2"/>
      <c r="L409" s="2"/>
    </row>
    <row r="410">
      <c r="E410" s="37"/>
      <c r="K410" s="2"/>
      <c r="L410" s="2"/>
    </row>
    <row r="411">
      <c r="E411" s="37"/>
      <c r="K411" s="2"/>
      <c r="L411" s="2"/>
    </row>
    <row r="412">
      <c r="E412" s="37"/>
      <c r="K412" s="2"/>
      <c r="L412" s="2"/>
    </row>
    <row r="413">
      <c r="E413" s="37"/>
      <c r="K413" s="2"/>
      <c r="L413" s="2"/>
    </row>
    <row r="414">
      <c r="E414" s="37"/>
      <c r="K414" s="2"/>
      <c r="L414" s="2"/>
    </row>
    <row r="415">
      <c r="E415" s="37"/>
      <c r="K415" s="2"/>
      <c r="L415" s="2"/>
    </row>
    <row r="416">
      <c r="E416" s="37"/>
      <c r="K416" s="2"/>
      <c r="L416" s="2"/>
    </row>
    <row r="417">
      <c r="E417" s="37"/>
      <c r="K417" s="2"/>
      <c r="L417" s="2"/>
    </row>
    <row r="418">
      <c r="E418" s="37"/>
      <c r="K418" s="2"/>
      <c r="L418" s="2"/>
    </row>
    <row r="419">
      <c r="E419" s="37"/>
      <c r="K419" s="2"/>
      <c r="L419" s="2"/>
    </row>
    <row r="420">
      <c r="E420" s="37"/>
      <c r="K420" s="2"/>
      <c r="L420" s="2"/>
    </row>
    <row r="421">
      <c r="E421" s="37"/>
      <c r="K421" s="2"/>
      <c r="L421" s="2"/>
    </row>
    <row r="422">
      <c r="E422" s="37"/>
      <c r="K422" s="2"/>
      <c r="L422" s="2"/>
    </row>
    <row r="423">
      <c r="E423" s="37"/>
      <c r="K423" s="2"/>
      <c r="L423" s="2"/>
    </row>
    <row r="424">
      <c r="E424" s="37"/>
      <c r="K424" s="2"/>
      <c r="L424" s="2"/>
    </row>
    <row r="425">
      <c r="E425" s="37"/>
      <c r="K425" s="2"/>
      <c r="L425" s="2"/>
    </row>
    <row r="426">
      <c r="E426" s="37"/>
      <c r="K426" s="2"/>
      <c r="L426" s="2"/>
    </row>
    <row r="427">
      <c r="E427" s="37"/>
      <c r="K427" s="2"/>
      <c r="L427" s="2"/>
    </row>
    <row r="428">
      <c r="E428" s="37"/>
      <c r="K428" s="2"/>
      <c r="L428" s="2"/>
    </row>
    <row r="429">
      <c r="E429" s="37"/>
      <c r="K429" s="2"/>
      <c r="L429" s="2"/>
    </row>
    <row r="430">
      <c r="E430" s="37"/>
      <c r="K430" s="2"/>
      <c r="L430" s="2"/>
    </row>
    <row r="431">
      <c r="E431" s="37"/>
      <c r="K431" s="2"/>
      <c r="L431" s="2"/>
    </row>
    <row r="432">
      <c r="E432" s="37"/>
      <c r="K432" s="2"/>
      <c r="L432" s="2"/>
    </row>
    <row r="433">
      <c r="E433" s="37"/>
      <c r="K433" s="2"/>
      <c r="L433" s="2"/>
    </row>
    <row r="434">
      <c r="E434" s="37"/>
      <c r="K434" s="2"/>
      <c r="L434" s="2"/>
    </row>
    <row r="435">
      <c r="E435" s="37"/>
      <c r="K435" s="2"/>
      <c r="L435" s="2"/>
    </row>
    <row r="436">
      <c r="E436" s="37"/>
      <c r="K436" s="2"/>
      <c r="L436" s="2"/>
    </row>
    <row r="437">
      <c r="E437" s="37"/>
      <c r="K437" s="2"/>
      <c r="L437" s="2"/>
    </row>
    <row r="438">
      <c r="E438" s="37"/>
      <c r="K438" s="2"/>
      <c r="L438" s="2"/>
    </row>
    <row r="439">
      <c r="E439" s="37"/>
      <c r="K439" s="2"/>
      <c r="L439" s="2"/>
    </row>
    <row r="440">
      <c r="E440" s="37"/>
      <c r="K440" s="2"/>
      <c r="L440" s="2"/>
    </row>
    <row r="441">
      <c r="E441" s="37"/>
      <c r="K441" s="2"/>
      <c r="L441" s="2"/>
    </row>
    <row r="442">
      <c r="E442" s="37"/>
      <c r="K442" s="2"/>
      <c r="L442" s="2"/>
    </row>
    <row r="443">
      <c r="E443" s="37"/>
      <c r="K443" s="2"/>
      <c r="L443" s="2"/>
    </row>
    <row r="444">
      <c r="E444" s="37"/>
      <c r="K444" s="2"/>
      <c r="L444" s="2"/>
    </row>
    <row r="445">
      <c r="E445" s="37"/>
      <c r="K445" s="2"/>
      <c r="L445" s="2"/>
    </row>
    <row r="446">
      <c r="E446" s="37"/>
      <c r="K446" s="2"/>
      <c r="L446" s="2"/>
    </row>
    <row r="447">
      <c r="E447" s="37"/>
      <c r="K447" s="2"/>
      <c r="L447" s="2"/>
    </row>
    <row r="448">
      <c r="E448" s="37"/>
      <c r="K448" s="2"/>
      <c r="L448" s="2"/>
    </row>
    <row r="449">
      <c r="E449" s="37"/>
      <c r="K449" s="2"/>
      <c r="L449" s="2"/>
    </row>
    <row r="450">
      <c r="E450" s="37"/>
      <c r="K450" s="2"/>
      <c r="L450" s="2"/>
    </row>
    <row r="451">
      <c r="E451" s="37"/>
      <c r="K451" s="2"/>
      <c r="L451" s="2"/>
    </row>
    <row r="452">
      <c r="E452" s="37"/>
      <c r="K452" s="2"/>
      <c r="L452" s="2"/>
    </row>
    <row r="453">
      <c r="E453" s="37"/>
      <c r="K453" s="2"/>
      <c r="L453" s="2"/>
    </row>
    <row r="454">
      <c r="E454" s="37"/>
      <c r="K454" s="2"/>
      <c r="L454" s="2"/>
    </row>
    <row r="455">
      <c r="E455" s="37"/>
      <c r="K455" s="2"/>
      <c r="L455" s="2"/>
    </row>
    <row r="456">
      <c r="E456" s="37"/>
      <c r="K456" s="2"/>
      <c r="L456" s="2"/>
    </row>
    <row r="457">
      <c r="E457" s="37"/>
      <c r="K457" s="2"/>
      <c r="L457" s="2"/>
    </row>
    <row r="458">
      <c r="E458" s="37"/>
      <c r="K458" s="2"/>
      <c r="L458" s="2"/>
    </row>
    <row r="459">
      <c r="E459" s="37"/>
      <c r="K459" s="2"/>
      <c r="L459" s="2"/>
    </row>
    <row r="460">
      <c r="E460" s="37"/>
      <c r="K460" s="2"/>
      <c r="L460" s="2"/>
    </row>
    <row r="461">
      <c r="E461" s="37"/>
      <c r="K461" s="2"/>
      <c r="L461" s="2"/>
    </row>
    <row r="462">
      <c r="E462" s="37"/>
      <c r="K462" s="2"/>
      <c r="L462" s="2"/>
    </row>
    <row r="463">
      <c r="E463" s="37"/>
      <c r="K463" s="2"/>
      <c r="L463" s="2"/>
    </row>
    <row r="464">
      <c r="E464" s="37"/>
      <c r="K464" s="2"/>
      <c r="L464" s="2"/>
    </row>
    <row r="465">
      <c r="E465" s="37"/>
      <c r="K465" s="2"/>
      <c r="L465" s="2"/>
    </row>
    <row r="466">
      <c r="E466" s="37"/>
      <c r="K466" s="2"/>
      <c r="L466" s="2"/>
    </row>
    <row r="467">
      <c r="E467" s="37"/>
      <c r="K467" s="2"/>
      <c r="L467" s="2"/>
    </row>
    <row r="468">
      <c r="E468" s="37"/>
      <c r="K468" s="2"/>
      <c r="L468" s="2"/>
    </row>
    <row r="469">
      <c r="E469" s="37"/>
      <c r="K469" s="2"/>
      <c r="L469" s="2"/>
    </row>
    <row r="470">
      <c r="E470" s="37"/>
      <c r="K470" s="2"/>
      <c r="L470" s="2"/>
    </row>
    <row r="471">
      <c r="E471" s="37"/>
      <c r="K471" s="2"/>
      <c r="L471" s="2"/>
    </row>
    <row r="472">
      <c r="E472" s="37"/>
      <c r="K472" s="2"/>
      <c r="L472" s="2"/>
    </row>
    <row r="473">
      <c r="E473" s="37"/>
      <c r="K473" s="2"/>
      <c r="L473" s="2"/>
    </row>
    <row r="474">
      <c r="E474" s="37"/>
      <c r="K474" s="2"/>
      <c r="L474" s="2"/>
    </row>
    <row r="475">
      <c r="E475" s="37"/>
      <c r="K475" s="2"/>
      <c r="L475" s="2"/>
    </row>
    <row r="476">
      <c r="E476" s="37"/>
      <c r="K476" s="2"/>
      <c r="L476" s="2"/>
    </row>
    <row r="477">
      <c r="E477" s="37"/>
      <c r="K477" s="2"/>
      <c r="L477" s="2"/>
    </row>
    <row r="478">
      <c r="E478" s="37"/>
      <c r="K478" s="2"/>
      <c r="L478" s="2"/>
    </row>
    <row r="479">
      <c r="E479" s="37"/>
      <c r="K479" s="2"/>
      <c r="L479" s="2"/>
    </row>
    <row r="480">
      <c r="E480" s="37"/>
      <c r="K480" s="2"/>
      <c r="L480" s="2"/>
    </row>
    <row r="481">
      <c r="E481" s="37"/>
      <c r="K481" s="2"/>
      <c r="L481" s="2"/>
    </row>
    <row r="482">
      <c r="E482" s="37"/>
      <c r="K482" s="2"/>
      <c r="L482" s="2"/>
    </row>
    <row r="483">
      <c r="E483" s="37"/>
      <c r="K483" s="2"/>
      <c r="L483" s="2"/>
    </row>
    <row r="484">
      <c r="E484" s="37"/>
      <c r="K484" s="2"/>
      <c r="L484" s="2"/>
    </row>
    <row r="485">
      <c r="E485" s="37"/>
      <c r="K485" s="2"/>
      <c r="L485" s="2"/>
    </row>
    <row r="486">
      <c r="E486" s="37"/>
      <c r="K486" s="2"/>
      <c r="L486" s="2"/>
    </row>
    <row r="487">
      <c r="E487" s="37"/>
      <c r="K487" s="2"/>
      <c r="L487" s="2"/>
    </row>
    <row r="488">
      <c r="E488" s="37"/>
      <c r="K488" s="2"/>
      <c r="L488" s="2"/>
    </row>
    <row r="489">
      <c r="E489" s="37"/>
      <c r="K489" s="2"/>
      <c r="L489" s="2"/>
    </row>
    <row r="490">
      <c r="E490" s="37"/>
      <c r="K490" s="2"/>
      <c r="L490" s="2"/>
    </row>
    <row r="491">
      <c r="E491" s="37"/>
      <c r="K491" s="2"/>
      <c r="L491" s="2"/>
    </row>
    <row r="492">
      <c r="E492" s="37"/>
      <c r="K492" s="2"/>
      <c r="L492" s="2"/>
    </row>
    <row r="493">
      <c r="E493" s="37"/>
      <c r="K493" s="2"/>
      <c r="L493" s="2"/>
    </row>
    <row r="494">
      <c r="E494" s="37"/>
      <c r="K494" s="2"/>
      <c r="L494" s="2"/>
    </row>
    <row r="495">
      <c r="E495" s="37"/>
      <c r="K495" s="2"/>
      <c r="L495" s="2"/>
    </row>
    <row r="496">
      <c r="E496" s="37"/>
      <c r="K496" s="2"/>
      <c r="L496" s="2"/>
    </row>
    <row r="497">
      <c r="E497" s="37"/>
      <c r="K497" s="2"/>
      <c r="L497" s="2"/>
    </row>
    <row r="498">
      <c r="E498" s="37"/>
      <c r="K498" s="2"/>
      <c r="L498" s="2"/>
    </row>
    <row r="499">
      <c r="E499" s="37"/>
      <c r="K499" s="2"/>
      <c r="L499" s="2"/>
    </row>
    <row r="500">
      <c r="E500" s="37"/>
      <c r="K500" s="2"/>
      <c r="L500" s="2"/>
    </row>
    <row r="501">
      <c r="E501" s="37"/>
      <c r="K501" s="2"/>
      <c r="L501" s="2"/>
    </row>
    <row r="502">
      <c r="E502" s="37"/>
      <c r="K502" s="2"/>
      <c r="L502" s="2"/>
    </row>
    <row r="503">
      <c r="E503" s="37"/>
      <c r="K503" s="2"/>
      <c r="L503" s="2"/>
    </row>
    <row r="504">
      <c r="E504" s="37"/>
      <c r="K504" s="2"/>
      <c r="L504" s="2"/>
    </row>
    <row r="505">
      <c r="E505" s="37"/>
      <c r="K505" s="2"/>
      <c r="L505" s="2"/>
    </row>
    <row r="506">
      <c r="E506" s="37"/>
      <c r="K506" s="2"/>
      <c r="L506" s="2"/>
    </row>
    <row r="507">
      <c r="E507" s="37"/>
      <c r="K507" s="2"/>
      <c r="L507" s="2"/>
    </row>
    <row r="508">
      <c r="E508" s="37"/>
      <c r="K508" s="2"/>
      <c r="L508" s="2"/>
    </row>
    <row r="509">
      <c r="E509" s="37"/>
      <c r="K509" s="2"/>
      <c r="L509" s="2"/>
    </row>
    <row r="510">
      <c r="E510" s="37"/>
      <c r="K510" s="2"/>
      <c r="L510" s="2"/>
    </row>
    <row r="511">
      <c r="E511" s="37"/>
      <c r="K511" s="2"/>
      <c r="L511" s="2"/>
    </row>
    <row r="512">
      <c r="E512" s="37"/>
      <c r="K512" s="2"/>
      <c r="L512" s="2"/>
    </row>
    <row r="513">
      <c r="E513" s="37"/>
      <c r="K513" s="2"/>
      <c r="L513" s="2"/>
    </row>
    <row r="514">
      <c r="E514" s="37"/>
      <c r="K514" s="2"/>
      <c r="L514" s="2"/>
    </row>
    <row r="515">
      <c r="E515" s="37"/>
      <c r="K515" s="2"/>
      <c r="L515" s="2"/>
    </row>
    <row r="516">
      <c r="E516" s="37"/>
      <c r="K516" s="2"/>
      <c r="L516" s="2"/>
    </row>
    <row r="517">
      <c r="E517" s="37"/>
      <c r="K517" s="2"/>
      <c r="L517" s="2"/>
    </row>
    <row r="518">
      <c r="E518" s="37"/>
      <c r="K518" s="2"/>
      <c r="L518" s="2"/>
    </row>
    <row r="519">
      <c r="E519" s="37"/>
      <c r="K519" s="2"/>
      <c r="L519" s="2"/>
    </row>
    <row r="520">
      <c r="E520" s="37"/>
      <c r="K520" s="2"/>
      <c r="L520" s="2"/>
    </row>
    <row r="521">
      <c r="E521" s="37"/>
      <c r="K521" s="2"/>
      <c r="L521" s="2"/>
    </row>
    <row r="522">
      <c r="E522" s="37"/>
      <c r="K522" s="2"/>
      <c r="L522" s="2"/>
    </row>
    <row r="523">
      <c r="E523" s="37"/>
      <c r="K523" s="2"/>
      <c r="L523" s="2"/>
    </row>
    <row r="524">
      <c r="E524" s="37"/>
      <c r="K524" s="2"/>
      <c r="L524" s="2"/>
    </row>
    <row r="525">
      <c r="E525" s="37"/>
      <c r="K525" s="2"/>
      <c r="L525" s="2"/>
    </row>
    <row r="526">
      <c r="E526" s="37"/>
      <c r="K526" s="2"/>
      <c r="L526" s="2"/>
    </row>
    <row r="527">
      <c r="E527" s="37"/>
      <c r="K527" s="2"/>
      <c r="L527" s="2"/>
    </row>
    <row r="528">
      <c r="E528" s="37"/>
      <c r="K528" s="2"/>
      <c r="L528" s="2"/>
    </row>
    <row r="529">
      <c r="E529" s="37"/>
      <c r="K529" s="2"/>
      <c r="L529" s="2"/>
    </row>
    <row r="530">
      <c r="E530" s="37"/>
      <c r="K530" s="2"/>
      <c r="L530" s="2"/>
    </row>
    <row r="531">
      <c r="E531" s="37"/>
      <c r="K531" s="2"/>
      <c r="L531" s="2"/>
    </row>
    <row r="532">
      <c r="E532" s="37"/>
      <c r="K532" s="2"/>
      <c r="L532" s="2"/>
    </row>
    <row r="533">
      <c r="E533" s="37"/>
      <c r="K533" s="2"/>
      <c r="L533" s="2"/>
    </row>
    <row r="534">
      <c r="E534" s="37"/>
      <c r="K534" s="2"/>
      <c r="L534" s="2"/>
    </row>
    <row r="535">
      <c r="E535" s="37"/>
      <c r="K535" s="2"/>
      <c r="L535" s="2"/>
    </row>
    <row r="536">
      <c r="E536" s="37"/>
      <c r="K536" s="2"/>
      <c r="L536" s="2"/>
    </row>
    <row r="537">
      <c r="E537" s="37"/>
      <c r="K537" s="2"/>
      <c r="L537" s="2"/>
    </row>
    <row r="538">
      <c r="E538" s="37"/>
      <c r="K538" s="2"/>
      <c r="L538" s="2"/>
    </row>
    <row r="539">
      <c r="E539" s="37"/>
      <c r="K539" s="2"/>
      <c r="L539" s="2"/>
    </row>
    <row r="540">
      <c r="E540" s="37"/>
      <c r="K540" s="2"/>
      <c r="L540" s="2"/>
    </row>
    <row r="541">
      <c r="E541" s="37"/>
      <c r="K541" s="2"/>
      <c r="L541" s="2"/>
    </row>
    <row r="542">
      <c r="E542" s="37"/>
      <c r="K542" s="2"/>
      <c r="L542" s="2"/>
    </row>
    <row r="543">
      <c r="E543" s="37"/>
      <c r="K543" s="2"/>
      <c r="L543" s="2"/>
    </row>
    <row r="544">
      <c r="E544" s="37"/>
      <c r="K544" s="2"/>
      <c r="L544" s="2"/>
    </row>
    <row r="545">
      <c r="E545" s="37"/>
      <c r="K545" s="2"/>
      <c r="L545" s="2"/>
    </row>
    <row r="546">
      <c r="E546" s="37"/>
      <c r="K546" s="2"/>
      <c r="L546" s="2"/>
    </row>
    <row r="547">
      <c r="E547" s="37"/>
      <c r="K547" s="2"/>
      <c r="L547" s="2"/>
    </row>
    <row r="548">
      <c r="E548" s="37"/>
      <c r="K548" s="2"/>
      <c r="L548" s="2"/>
    </row>
    <row r="549">
      <c r="E549" s="37"/>
      <c r="K549" s="2"/>
      <c r="L549" s="2"/>
    </row>
    <row r="550">
      <c r="E550" s="37"/>
      <c r="K550" s="2"/>
      <c r="L550" s="2"/>
    </row>
    <row r="551">
      <c r="E551" s="37"/>
      <c r="K551" s="2"/>
      <c r="L551" s="2"/>
    </row>
    <row r="552">
      <c r="E552" s="37"/>
      <c r="K552" s="2"/>
      <c r="L552" s="2"/>
    </row>
    <row r="553">
      <c r="E553" s="37"/>
      <c r="K553" s="2"/>
      <c r="L553" s="2"/>
    </row>
    <row r="554">
      <c r="E554" s="37"/>
      <c r="K554" s="2"/>
      <c r="L554" s="2"/>
    </row>
    <row r="555">
      <c r="E555" s="37"/>
      <c r="K555" s="2"/>
      <c r="L555" s="2"/>
    </row>
    <row r="556">
      <c r="E556" s="37"/>
      <c r="K556" s="2"/>
      <c r="L556" s="2"/>
    </row>
    <row r="557">
      <c r="E557" s="37"/>
      <c r="K557" s="2"/>
      <c r="L557" s="2"/>
    </row>
    <row r="558">
      <c r="E558" s="37"/>
      <c r="K558" s="2"/>
      <c r="L558" s="2"/>
    </row>
    <row r="559">
      <c r="E559" s="37"/>
      <c r="K559" s="2"/>
      <c r="L559" s="2"/>
    </row>
    <row r="560">
      <c r="E560" s="37"/>
      <c r="K560" s="2"/>
      <c r="L560" s="2"/>
    </row>
    <row r="561">
      <c r="E561" s="37"/>
      <c r="K561" s="2"/>
      <c r="L561" s="2"/>
    </row>
    <row r="562">
      <c r="E562" s="37"/>
      <c r="K562" s="2"/>
      <c r="L562" s="2"/>
    </row>
    <row r="563">
      <c r="E563" s="37"/>
      <c r="K563" s="2"/>
      <c r="L563" s="2"/>
    </row>
    <row r="564">
      <c r="E564" s="37"/>
      <c r="K564" s="2"/>
      <c r="L564" s="2"/>
    </row>
    <row r="565">
      <c r="E565" s="37"/>
      <c r="K565" s="2"/>
      <c r="L565" s="2"/>
    </row>
    <row r="566">
      <c r="E566" s="37"/>
      <c r="K566" s="2"/>
      <c r="L566" s="2"/>
    </row>
    <row r="567">
      <c r="E567" s="37"/>
      <c r="K567" s="2"/>
      <c r="L567" s="2"/>
    </row>
    <row r="568">
      <c r="E568" s="37"/>
      <c r="K568" s="2"/>
      <c r="L568" s="2"/>
    </row>
    <row r="569">
      <c r="E569" s="37"/>
      <c r="K569" s="2"/>
      <c r="L569" s="2"/>
    </row>
    <row r="570">
      <c r="E570" s="37"/>
      <c r="K570" s="2"/>
      <c r="L570" s="2"/>
    </row>
    <row r="571">
      <c r="E571" s="37"/>
      <c r="K571" s="2"/>
      <c r="L571" s="2"/>
    </row>
    <row r="572">
      <c r="E572" s="37"/>
      <c r="K572" s="2"/>
      <c r="L572" s="2"/>
    </row>
    <row r="573">
      <c r="E573" s="37"/>
      <c r="K573" s="2"/>
      <c r="L573" s="2"/>
    </row>
    <row r="574">
      <c r="E574" s="37"/>
      <c r="K574" s="2"/>
      <c r="L574" s="2"/>
    </row>
    <row r="575">
      <c r="E575" s="37"/>
      <c r="K575" s="2"/>
      <c r="L575" s="2"/>
    </row>
    <row r="576">
      <c r="E576" s="37"/>
      <c r="K576" s="2"/>
      <c r="L576" s="2"/>
    </row>
    <row r="577">
      <c r="E577" s="37"/>
      <c r="K577" s="2"/>
      <c r="L577" s="2"/>
    </row>
    <row r="578">
      <c r="E578" s="37"/>
      <c r="K578" s="2"/>
      <c r="L578" s="2"/>
    </row>
    <row r="579">
      <c r="E579" s="37"/>
      <c r="K579" s="2"/>
      <c r="L579" s="2"/>
    </row>
    <row r="580">
      <c r="E580" s="37"/>
      <c r="K580" s="2"/>
      <c r="L580" s="2"/>
    </row>
    <row r="581">
      <c r="E581" s="37"/>
      <c r="K581" s="2"/>
      <c r="L581" s="2"/>
    </row>
    <row r="582">
      <c r="E582" s="37"/>
      <c r="K582" s="2"/>
      <c r="L582" s="2"/>
    </row>
    <row r="583">
      <c r="E583" s="37"/>
      <c r="K583" s="2"/>
      <c r="L583" s="2"/>
    </row>
    <row r="584">
      <c r="E584" s="37"/>
      <c r="K584" s="2"/>
      <c r="L584" s="2"/>
    </row>
    <row r="585">
      <c r="E585" s="37"/>
      <c r="K585" s="2"/>
      <c r="L585" s="2"/>
    </row>
    <row r="586">
      <c r="E586" s="37"/>
      <c r="K586" s="2"/>
      <c r="L586" s="2"/>
    </row>
    <row r="587">
      <c r="E587" s="37"/>
      <c r="K587" s="2"/>
      <c r="L587" s="2"/>
    </row>
    <row r="588">
      <c r="E588" s="37"/>
      <c r="K588" s="2"/>
      <c r="L588" s="2"/>
    </row>
    <row r="589">
      <c r="E589" s="37"/>
      <c r="K589" s="2"/>
      <c r="L589" s="2"/>
    </row>
    <row r="590">
      <c r="E590" s="37"/>
      <c r="K590" s="2"/>
      <c r="L590" s="2"/>
    </row>
    <row r="591">
      <c r="E591" s="37"/>
      <c r="K591" s="2"/>
      <c r="L591" s="2"/>
    </row>
    <row r="592">
      <c r="E592" s="37"/>
      <c r="K592" s="2"/>
      <c r="L592" s="2"/>
    </row>
    <row r="593">
      <c r="E593" s="37"/>
      <c r="K593" s="2"/>
      <c r="L593" s="2"/>
    </row>
    <row r="594">
      <c r="E594" s="37"/>
      <c r="K594" s="2"/>
      <c r="L594" s="2"/>
    </row>
    <row r="595">
      <c r="E595" s="37"/>
      <c r="K595" s="2"/>
      <c r="L595" s="2"/>
    </row>
    <row r="596">
      <c r="E596" s="37"/>
      <c r="K596" s="2"/>
      <c r="L596" s="2"/>
    </row>
    <row r="597">
      <c r="E597" s="37"/>
      <c r="K597" s="2"/>
      <c r="L597" s="2"/>
    </row>
    <row r="598">
      <c r="E598" s="37"/>
      <c r="K598" s="2"/>
      <c r="L598" s="2"/>
    </row>
    <row r="599">
      <c r="E599" s="37"/>
      <c r="K599" s="2"/>
      <c r="L599" s="2"/>
    </row>
    <row r="600">
      <c r="E600" s="37"/>
      <c r="K600" s="2"/>
      <c r="L600" s="2"/>
    </row>
    <row r="601">
      <c r="E601" s="37"/>
      <c r="K601" s="2"/>
      <c r="L601" s="2"/>
    </row>
    <row r="602">
      <c r="E602" s="37"/>
      <c r="K602" s="2"/>
      <c r="L602" s="2"/>
    </row>
    <row r="603">
      <c r="E603" s="37"/>
      <c r="K603" s="2"/>
      <c r="L603" s="2"/>
    </row>
    <row r="604">
      <c r="E604" s="37"/>
      <c r="K604" s="2"/>
      <c r="L604" s="2"/>
    </row>
    <row r="605">
      <c r="E605" s="37"/>
      <c r="K605" s="2"/>
      <c r="L605" s="2"/>
    </row>
    <row r="606">
      <c r="E606" s="37"/>
      <c r="K606" s="2"/>
      <c r="L606" s="2"/>
    </row>
    <row r="607">
      <c r="E607" s="37"/>
      <c r="K607" s="2"/>
      <c r="L607" s="2"/>
    </row>
    <row r="608">
      <c r="E608" s="37"/>
      <c r="K608" s="2"/>
      <c r="L608" s="2"/>
    </row>
    <row r="609">
      <c r="E609" s="37"/>
      <c r="K609" s="2"/>
      <c r="L609" s="2"/>
    </row>
    <row r="610">
      <c r="E610" s="37"/>
      <c r="K610" s="2"/>
      <c r="L610" s="2"/>
    </row>
    <row r="611">
      <c r="E611" s="37"/>
      <c r="K611" s="2"/>
      <c r="L611" s="2"/>
    </row>
    <row r="612">
      <c r="E612" s="37"/>
      <c r="K612" s="2"/>
      <c r="L612" s="2"/>
    </row>
    <row r="613">
      <c r="E613" s="37"/>
      <c r="K613" s="2"/>
      <c r="L613" s="2"/>
    </row>
    <row r="614">
      <c r="E614" s="37"/>
      <c r="K614" s="2"/>
      <c r="L614" s="2"/>
    </row>
    <row r="615">
      <c r="E615" s="37"/>
      <c r="K615" s="2"/>
      <c r="L615" s="2"/>
    </row>
    <row r="616">
      <c r="E616" s="37"/>
      <c r="K616" s="2"/>
      <c r="L616" s="2"/>
    </row>
    <row r="617">
      <c r="E617" s="37"/>
      <c r="K617" s="2"/>
      <c r="L617" s="2"/>
    </row>
    <row r="618">
      <c r="E618" s="37"/>
      <c r="K618" s="2"/>
      <c r="L618" s="2"/>
    </row>
    <row r="619">
      <c r="E619" s="37"/>
      <c r="K619" s="2"/>
      <c r="L619" s="2"/>
    </row>
    <row r="620">
      <c r="E620" s="37"/>
      <c r="K620" s="2"/>
      <c r="L620" s="2"/>
    </row>
    <row r="621">
      <c r="E621" s="37"/>
      <c r="K621" s="2"/>
      <c r="L621" s="2"/>
    </row>
    <row r="622">
      <c r="E622" s="37"/>
      <c r="K622" s="2"/>
      <c r="L622" s="2"/>
    </row>
    <row r="623">
      <c r="E623" s="37"/>
      <c r="K623" s="2"/>
      <c r="L623" s="2"/>
    </row>
    <row r="624">
      <c r="E624" s="37"/>
      <c r="K624" s="2"/>
      <c r="L624" s="2"/>
    </row>
    <row r="625">
      <c r="E625" s="37"/>
      <c r="K625" s="2"/>
      <c r="L625" s="2"/>
    </row>
    <row r="626">
      <c r="E626" s="37"/>
      <c r="K626" s="2"/>
      <c r="L626" s="2"/>
    </row>
    <row r="627">
      <c r="E627" s="37"/>
      <c r="K627" s="2"/>
      <c r="L627" s="2"/>
    </row>
    <row r="628">
      <c r="E628" s="37"/>
      <c r="K628" s="2"/>
      <c r="L628" s="2"/>
    </row>
    <row r="629">
      <c r="E629" s="37"/>
      <c r="K629" s="2"/>
      <c r="L629" s="2"/>
    </row>
    <row r="630">
      <c r="E630" s="37"/>
      <c r="K630" s="2"/>
      <c r="L630" s="2"/>
    </row>
    <row r="631">
      <c r="E631" s="37"/>
      <c r="K631" s="2"/>
      <c r="L631" s="2"/>
    </row>
    <row r="632">
      <c r="E632" s="37"/>
      <c r="K632" s="2"/>
      <c r="L632" s="2"/>
    </row>
    <row r="633">
      <c r="E633" s="37"/>
      <c r="K633" s="2"/>
      <c r="L633" s="2"/>
    </row>
    <row r="634">
      <c r="E634" s="37"/>
      <c r="K634" s="2"/>
      <c r="L634" s="2"/>
    </row>
    <row r="635">
      <c r="E635" s="37"/>
      <c r="K635" s="2"/>
      <c r="L635" s="2"/>
    </row>
    <row r="636">
      <c r="E636" s="37"/>
      <c r="K636" s="2"/>
      <c r="L636" s="2"/>
    </row>
    <row r="637">
      <c r="E637" s="37"/>
      <c r="K637" s="2"/>
      <c r="L637" s="2"/>
    </row>
    <row r="638">
      <c r="E638" s="37"/>
      <c r="K638" s="2"/>
      <c r="L638" s="2"/>
    </row>
    <row r="639">
      <c r="E639" s="37"/>
      <c r="K639" s="2"/>
      <c r="L639" s="2"/>
    </row>
    <row r="640">
      <c r="E640" s="37"/>
      <c r="K640" s="2"/>
      <c r="L640" s="2"/>
    </row>
    <row r="641">
      <c r="E641" s="37"/>
      <c r="K641" s="2"/>
      <c r="L641" s="2"/>
    </row>
    <row r="642">
      <c r="E642" s="37"/>
      <c r="K642" s="2"/>
      <c r="L642" s="2"/>
    </row>
    <row r="643">
      <c r="E643" s="37"/>
      <c r="K643" s="2"/>
      <c r="L643" s="2"/>
    </row>
    <row r="644">
      <c r="E644" s="37"/>
      <c r="K644" s="2"/>
      <c r="L644" s="2"/>
    </row>
    <row r="645">
      <c r="E645" s="37"/>
      <c r="K645" s="2"/>
      <c r="L645" s="2"/>
    </row>
    <row r="646">
      <c r="E646" s="37"/>
      <c r="K646" s="2"/>
      <c r="L646" s="2"/>
    </row>
    <row r="647">
      <c r="E647" s="37"/>
      <c r="K647" s="2"/>
      <c r="L647" s="2"/>
    </row>
    <row r="648">
      <c r="E648" s="37"/>
      <c r="K648" s="2"/>
      <c r="L648" s="2"/>
    </row>
    <row r="649">
      <c r="E649" s="37"/>
      <c r="K649" s="2"/>
      <c r="L649" s="2"/>
    </row>
    <row r="650">
      <c r="E650" s="37"/>
      <c r="K650" s="2"/>
      <c r="L650" s="2"/>
    </row>
    <row r="651">
      <c r="E651" s="37"/>
      <c r="K651" s="2"/>
      <c r="L651" s="2"/>
    </row>
    <row r="652">
      <c r="E652" s="37"/>
      <c r="K652" s="2"/>
      <c r="L652" s="2"/>
    </row>
    <row r="653">
      <c r="E653" s="37"/>
      <c r="K653" s="2"/>
      <c r="L653" s="2"/>
    </row>
    <row r="654">
      <c r="E654" s="37"/>
      <c r="K654" s="2"/>
      <c r="L654" s="2"/>
    </row>
    <row r="655">
      <c r="E655" s="37"/>
      <c r="K655" s="2"/>
      <c r="L655" s="2"/>
    </row>
    <row r="656">
      <c r="E656" s="37"/>
      <c r="K656" s="2"/>
      <c r="L656" s="2"/>
    </row>
    <row r="657">
      <c r="E657" s="37"/>
      <c r="K657" s="2"/>
      <c r="L657" s="2"/>
    </row>
    <row r="658">
      <c r="E658" s="37"/>
      <c r="K658" s="2"/>
      <c r="L658" s="2"/>
    </row>
    <row r="659">
      <c r="E659" s="37"/>
      <c r="K659" s="2"/>
      <c r="L659" s="2"/>
    </row>
    <row r="660">
      <c r="E660" s="37"/>
      <c r="K660" s="2"/>
      <c r="L660" s="2"/>
    </row>
    <row r="661">
      <c r="E661" s="37"/>
      <c r="K661" s="2"/>
      <c r="L661" s="2"/>
    </row>
    <row r="662">
      <c r="E662" s="37"/>
      <c r="K662" s="2"/>
      <c r="L662" s="2"/>
    </row>
    <row r="663">
      <c r="E663" s="37"/>
      <c r="K663" s="2"/>
      <c r="L663" s="2"/>
    </row>
    <row r="664">
      <c r="E664" s="37"/>
      <c r="K664" s="2"/>
      <c r="L664" s="2"/>
    </row>
    <row r="665">
      <c r="E665" s="37"/>
      <c r="K665" s="2"/>
      <c r="L665" s="2"/>
    </row>
    <row r="666">
      <c r="E666" s="37"/>
      <c r="K666" s="2"/>
      <c r="L666" s="2"/>
    </row>
    <row r="667">
      <c r="E667" s="37"/>
      <c r="K667" s="2"/>
      <c r="L667" s="2"/>
    </row>
    <row r="668">
      <c r="E668" s="37"/>
      <c r="K668" s="2"/>
      <c r="L668" s="2"/>
    </row>
    <row r="669">
      <c r="E669" s="37"/>
      <c r="K669" s="2"/>
      <c r="L669" s="2"/>
    </row>
    <row r="670">
      <c r="E670" s="37"/>
      <c r="K670" s="2"/>
      <c r="L670" s="2"/>
    </row>
    <row r="671">
      <c r="E671" s="37"/>
      <c r="K671" s="2"/>
      <c r="L671" s="2"/>
    </row>
    <row r="672">
      <c r="E672" s="37"/>
      <c r="K672" s="2"/>
      <c r="L672" s="2"/>
    </row>
    <row r="673">
      <c r="E673" s="37"/>
      <c r="K673" s="2"/>
      <c r="L673" s="2"/>
    </row>
    <row r="674">
      <c r="E674" s="37"/>
      <c r="K674" s="2"/>
      <c r="L674" s="2"/>
    </row>
    <row r="675">
      <c r="E675" s="37"/>
      <c r="K675" s="2"/>
      <c r="L675" s="2"/>
    </row>
    <row r="676">
      <c r="E676" s="37"/>
      <c r="K676" s="2"/>
      <c r="L676" s="2"/>
    </row>
    <row r="677">
      <c r="E677" s="37"/>
      <c r="K677" s="2"/>
      <c r="L677" s="2"/>
    </row>
    <row r="678">
      <c r="E678" s="37"/>
      <c r="K678" s="2"/>
      <c r="L678" s="2"/>
    </row>
    <row r="679">
      <c r="E679" s="37"/>
      <c r="K679" s="2"/>
      <c r="L679" s="2"/>
    </row>
    <row r="680">
      <c r="E680" s="37"/>
      <c r="K680" s="2"/>
      <c r="L680" s="2"/>
    </row>
    <row r="681">
      <c r="E681" s="37"/>
      <c r="K681" s="2"/>
      <c r="L681" s="2"/>
    </row>
    <row r="682">
      <c r="E682" s="37"/>
      <c r="K682" s="2"/>
      <c r="L682" s="2"/>
    </row>
    <row r="683">
      <c r="E683" s="37"/>
      <c r="K683" s="2"/>
      <c r="L683" s="2"/>
    </row>
    <row r="684">
      <c r="E684" s="37"/>
      <c r="K684" s="2"/>
      <c r="L684" s="2"/>
    </row>
    <row r="685">
      <c r="E685" s="37"/>
      <c r="K685" s="2"/>
      <c r="L685" s="2"/>
    </row>
    <row r="686">
      <c r="E686" s="37"/>
      <c r="K686" s="2"/>
      <c r="L686" s="2"/>
    </row>
    <row r="687">
      <c r="E687" s="37"/>
      <c r="K687" s="2"/>
      <c r="L687" s="2"/>
    </row>
    <row r="688">
      <c r="E688" s="37"/>
      <c r="K688" s="2"/>
      <c r="L688" s="2"/>
    </row>
    <row r="689">
      <c r="E689" s="37"/>
      <c r="K689" s="2"/>
      <c r="L689" s="2"/>
    </row>
    <row r="690">
      <c r="E690" s="37"/>
      <c r="K690" s="2"/>
      <c r="L690" s="2"/>
    </row>
    <row r="691">
      <c r="E691" s="37"/>
      <c r="K691" s="2"/>
      <c r="L691" s="2"/>
    </row>
    <row r="692">
      <c r="E692" s="37"/>
      <c r="K692" s="2"/>
      <c r="L692" s="2"/>
    </row>
    <row r="693">
      <c r="E693" s="37"/>
      <c r="K693" s="2"/>
      <c r="L693" s="2"/>
    </row>
    <row r="694">
      <c r="E694" s="37"/>
      <c r="K694" s="2"/>
      <c r="L694" s="2"/>
    </row>
    <row r="695">
      <c r="E695" s="37"/>
      <c r="K695" s="2"/>
      <c r="L695" s="2"/>
    </row>
    <row r="696">
      <c r="E696" s="37"/>
      <c r="K696" s="2"/>
      <c r="L696" s="2"/>
    </row>
    <row r="697">
      <c r="E697" s="37"/>
      <c r="K697" s="2"/>
      <c r="L697" s="2"/>
    </row>
    <row r="698">
      <c r="E698" s="37"/>
      <c r="K698" s="2"/>
      <c r="L698" s="2"/>
    </row>
    <row r="699">
      <c r="E699" s="37"/>
      <c r="K699" s="2"/>
      <c r="L699" s="2"/>
    </row>
    <row r="700">
      <c r="E700" s="37"/>
      <c r="K700" s="2"/>
      <c r="L700" s="2"/>
    </row>
    <row r="701">
      <c r="E701" s="37"/>
      <c r="K701" s="2"/>
      <c r="L701" s="2"/>
    </row>
    <row r="702">
      <c r="E702" s="37"/>
      <c r="K702" s="2"/>
      <c r="L702" s="2"/>
    </row>
    <row r="703">
      <c r="E703" s="37"/>
      <c r="K703" s="2"/>
      <c r="L703" s="2"/>
    </row>
    <row r="704">
      <c r="E704" s="37"/>
      <c r="K704" s="2"/>
      <c r="L704" s="2"/>
    </row>
    <row r="705">
      <c r="E705" s="37"/>
      <c r="K705" s="2"/>
      <c r="L705" s="2"/>
    </row>
    <row r="706">
      <c r="E706" s="37"/>
      <c r="K706" s="2"/>
      <c r="L706" s="2"/>
    </row>
    <row r="707">
      <c r="E707" s="37"/>
      <c r="K707" s="2"/>
      <c r="L707" s="2"/>
    </row>
    <row r="708">
      <c r="E708" s="37"/>
      <c r="K708" s="2"/>
      <c r="L708" s="2"/>
    </row>
    <row r="709">
      <c r="E709" s="37"/>
      <c r="K709" s="2"/>
      <c r="L709" s="2"/>
    </row>
    <row r="710">
      <c r="E710" s="37"/>
      <c r="K710" s="2"/>
      <c r="L710" s="2"/>
    </row>
    <row r="711">
      <c r="E711" s="37"/>
      <c r="K711" s="2"/>
      <c r="L711" s="2"/>
    </row>
    <row r="712">
      <c r="E712" s="37"/>
      <c r="K712" s="2"/>
      <c r="L712" s="2"/>
    </row>
    <row r="713">
      <c r="E713" s="37"/>
      <c r="K713" s="2"/>
      <c r="L713" s="2"/>
    </row>
    <row r="714">
      <c r="E714" s="37"/>
      <c r="K714" s="2"/>
      <c r="L714" s="2"/>
    </row>
    <row r="715">
      <c r="E715" s="37"/>
      <c r="K715" s="2"/>
      <c r="L715" s="2"/>
    </row>
    <row r="716">
      <c r="E716" s="37"/>
      <c r="K716" s="2"/>
      <c r="L716" s="2"/>
    </row>
    <row r="717">
      <c r="E717" s="37"/>
      <c r="K717" s="2"/>
      <c r="L717" s="2"/>
    </row>
    <row r="718">
      <c r="E718" s="37"/>
      <c r="K718" s="2"/>
      <c r="L718" s="2"/>
    </row>
    <row r="719">
      <c r="E719" s="37"/>
      <c r="K719" s="2"/>
      <c r="L719" s="2"/>
    </row>
    <row r="720">
      <c r="E720" s="37"/>
      <c r="K720" s="2"/>
      <c r="L720" s="2"/>
    </row>
    <row r="721">
      <c r="E721" s="37"/>
      <c r="K721" s="2"/>
      <c r="L721" s="2"/>
    </row>
    <row r="722">
      <c r="E722" s="37"/>
      <c r="K722" s="2"/>
      <c r="L722" s="2"/>
    </row>
    <row r="723">
      <c r="E723" s="37"/>
      <c r="K723" s="2"/>
      <c r="L723" s="2"/>
    </row>
    <row r="724">
      <c r="E724" s="37"/>
      <c r="K724" s="2"/>
      <c r="L724" s="2"/>
    </row>
    <row r="725">
      <c r="E725" s="37"/>
      <c r="K725" s="2"/>
      <c r="L725" s="2"/>
    </row>
    <row r="726">
      <c r="E726" s="37"/>
      <c r="K726" s="2"/>
      <c r="L726" s="2"/>
    </row>
    <row r="727">
      <c r="E727" s="37"/>
      <c r="K727" s="2"/>
      <c r="L727" s="2"/>
    </row>
    <row r="728">
      <c r="E728" s="37"/>
      <c r="K728" s="2"/>
      <c r="L728" s="2"/>
    </row>
    <row r="729">
      <c r="E729" s="37"/>
      <c r="K729" s="2"/>
      <c r="L729" s="2"/>
    </row>
    <row r="730">
      <c r="E730" s="37"/>
      <c r="K730" s="2"/>
      <c r="L730" s="2"/>
    </row>
    <row r="731">
      <c r="E731" s="37"/>
      <c r="K731" s="2"/>
      <c r="L731" s="2"/>
    </row>
    <row r="732">
      <c r="E732" s="37"/>
      <c r="K732" s="2"/>
      <c r="L732" s="2"/>
    </row>
    <row r="733">
      <c r="E733" s="37"/>
      <c r="K733" s="2"/>
      <c r="L733" s="2"/>
    </row>
    <row r="734">
      <c r="E734" s="37"/>
      <c r="K734" s="2"/>
      <c r="L734" s="2"/>
    </row>
    <row r="735">
      <c r="E735" s="37"/>
      <c r="K735" s="2"/>
      <c r="L735" s="2"/>
    </row>
    <row r="736">
      <c r="E736" s="37"/>
      <c r="K736" s="2"/>
      <c r="L736" s="2"/>
    </row>
    <row r="737">
      <c r="E737" s="37"/>
      <c r="K737" s="2"/>
      <c r="L737" s="2"/>
    </row>
    <row r="738">
      <c r="E738" s="37"/>
      <c r="K738" s="2"/>
      <c r="L738" s="2"/>
    </row>
    <row r="739">
      <c r="E739" s="37"/>
      <c r="K739" s="2"/>
      <c r="L739" s="2"/>
    </row>
    <row r="740">
      <c r="E740" s="37"/>
      <c r="K740" s="2"/>
      <c r="L740" s="2"/>
    </row>
    <row r="741">
      <c r="E741" s="37"/>
      <c r="K741" s="2"/>
      <c r="L741" s="2"/>
    </row>
    <row r="742">
      <c r="E742" s="37"/>
      <c r="K742" s="2"/>
      <c r="L742" s="2"/>
    </row>
    <row r="743">
      <c r="E743" s="37"/>
      <c r="K743" s="2"/>
      <c r="L743" s="2"/>
    </row>
    <row r="744">
      <c r="E744" s="37"/>
      <c r="K744" s="2"/>
      <c r="L744" s="2"/>
    </row>
    <row r="745">
      <c r="E745" s="37"/>
      <c r="K745" s="2"/>
      <c r="L745" s="2"/>
    </row>
    <row r="746">
      <c r="E746" s="37"/>
      <c r="K746" s="2"/>
      <c r="L746" s="2"/>
    </row>
    <row r="747">
      <c r="E747" s="37"/>
      <c r="K747" s="2"/>
      <c r="L747" s="2"/>
    </row>
    <row r="748">
      <c r="E748" s="37"/>
      <c r="K748" s="2"/>
      <c r="L748" s="2"/>
    </row>
    <row r="749">
      <c r="E749" s="37"/>
      <c r="K749" s="2"/>
      <c r="L749" s="2"/>
    </row>
    <row r="750">
      <c r="E750" s="37"/>
      <c r="K750" s="2"/>
      <c r="L750" s="2"/>
    </row>
    <row r="751">
      <c r="E751" s="37"/>
      <c r="K751" s="2"/>
      <c r="L751" s="2"/>
    </row>
    <row r="752">
      <c r="E752" s="37"/>
      <c r="K752" s="2"/>
      <c r="L752" s="2"/>
    </row>
    <row r="753">
      <c r="E753" s="37"/>
      <c r="K753" s="2"/>
      <c r="L753" s="2"/>
    </row>
    <row r="754">
      <c r="E754" s="37"/>
      <c r="K754" s="2"/>
      <c r="L754" s="2"/>
    </row>
    <row r="755">
      <c r="E755" s="37"/>
      <c r="K755" s="2"/>
      <c r="L755" s="2"/>
    </row>
    <row r="756">
      <c r="E756" s="37"/>
      <c r="K756" s="2"/>
      <c r="L756" s="2"/>
    </row>
    <row r="757">
      <c r="E757" s="37"/>
      <c r="K757" s="2"/>
      <c r="L757" s="2"/>
    </row>
    <row r="758">
      <c r="E758" s="37"/>
      <c r="K758" s="2"/>
      <c r="L758" s="2"/>
    </row>
    <row r="759">
      <c r="E759" s="37"/>
      <c r="K759" s="2"/>
      <c r="L759" s="2"/>
    </row>
    <row r="760">
      <c r="E760" s="37"/>
      <c r="K760" s="2"/>
      <c r="L760" s="2"/>
    </row>
    <row r="761">
      <c r="E761" s="37"/>
      <c r="K761" s="2"/>
      <c r="L761" s="2"/>
    </row>
    <row r="762">
      <c r="E762" s="37"/>
      <c r="K762" s="2"/>
      <c r="L762" s="2"/>
    </row>
    <row r="763">
      <c r="E763" s="37"/>
      <c r="K763" s="2"/>
      <c r="L763" s="2"/>
    </row>
    <row r="764">
      <c r="E764" s="37"/>
      <c r="K764" s="2"/>
      <c r="L764" s="2"/>
    </row>
    <row r="765">
      <c r="E765" s="37"/>
      <c r="K765" s="2"/>
      <c r="L765" s="2"/>
    </row>
    <row r="766">
      <c r="E766" s="37"/>
      <c r="K766" s="2"/>
      <c r="L766" s="2"/>
    </row>
    <row r="767">
      <c r="E767" s="37"/>
      <c r="K767" s="2"/>
      <c r="L767" s="2"/>
    </row>
    <row r="768">
      <c r="E768" s="37"/>
      <c r="K768" s="2"/>
      <c r="L768" s="2"/>
    </row>
    <row r="769">
      <c r="E769" s="37"/>
      <c r="K769" s="2"/>
      <c r="L769" s="2"/>
    </row>
    <row r="770">
      <c r="E770" s="37"/>
      <c r="K770" s="2"/>
      <c r="L770" s="2"/>
    </row>
    <row r="771">
      <c r="E771" s="37"/>
      <c r="K771" s="2"/>
      <c r="L771" s="2"/>
    </row>
    <row r="772">
      <c r="E772" s="37"/>
      <c r="K772" s="2"/>
      <c r="L772" s="2"/>
    </row>
    <row r="773">
      <c r="E773" s="37"/>
      <c r="K773" s="2"/>
      <c r="L773" s="2"/>
    </row>
    <row r="774">
      <c r="E774" s="37"/>
      <c r="K774" s="2"/>
      <c r="L774" s="2"/>
    </row>
    <row r="775">
      <c r="E775" s="37"/>
      <c r="K775" s="2"/>
      <c r="L775" s="2"/>
    </row>
    <row r="776">
      <c r="E776" s="37"/>
      <c r="K776" s="2"/>
      <c r="L776" s="2"/>
    </row>
    <row r="777">
      <c r="E777" s="37"/>
      <c r="K777" s="2"/>
      <c r="L777" s="2"/>
    </row>
    <row r="778">
      <c r="E778" s="37"/>
      <c r="K778" s="2"/>
      <c r="L778" s="2"/>
    </row>
    <row r="779">
      <c r="E779" s="37"/>
      <c r="K779" s="2"/>
      <c r="L779" s="2"/>
    </row>
    <row r="780">
      <c r="E780" s="37"/>
      <c r="K780" s="2"/>
      <c r="L780" s="2"/>
    </row>
    <row r="781">
      <c r="E781" s="37"/>
      <c r="K781" s="2"/>
      <c r="L781" s="2"/>
    </row>
    <row r="782">
      <c r="E782" s="37"/>
      <c r="K782" s="2"/>
      <c r="L782" s="2"/>
    </row>
    <row r="783">
      <c r="E783" s="37"/>
      <c r="K783" s="2"/>
      <c r="L783" s="2"/>
    </row>
    <row r="784">
      <c r="E784" s="37"/>
      <c r="K784" s="2"/>
      <c r="L784" s="2"/>
    </row>
    <row r="785">
      <c r="E785" s="37"/>
      <c r="K785" s="2"/>
      <c r="L785" s="2"/>
    </row>
    <row r="786">
      <c r="E786" s="37"/>
      <c r="K786" s="2"/>
      <c r="L786" s="2"/>
    </row>
    <row r="787">
      <c r="E787" s="37"/>
      <c r="K787" s="2"/>
      <c r="L787" s="2"/>
    </row>
    <row r="788">
      <c r="E788" s="37"/>
      <c r="K788" s="2"/>
      <c r="L788" s="2"/>
    </row>
    <row r="789">
      <c r="E789" s="37"/>
      <c r="K789" s="2"/>
      <c r="L789" s="2"/>
    </row>
    <row r="790">
      <c r="E790" s="37"/>
      <c r="K790" s="2"/>
      <c r="L790" s="2"/>
    </row>
    <row r="791">
      <c r="E791" s="37"/>
      <c r="K791" s="2"/>
      <c r="L791" s="2"/>
    </row>
    <row r="792">
      <c r="E792" s="37"/>
      <c r="K792" s="2"/>
      <c r="L792" s="2"/>
    </row>
    <row r="793">
      <c r="E793" s="37"/>
      <c r="K793" s="2"/>
      <c r="L793" s="2"/>
    </row>
    <row r="794">
      <c r="E794" s="37"/>
      <c r="K794" s="2"/>
      <c r="L794" s="2"/>
    </row>
    <row r="795">
      <c r="E795" s="37"/>
      <c r="K795" s="2"/>
      <c r="L795" s="2"/>
    </row>
    <row r="796">
      <c r="E796" s="37"/>
      <c r="K796" s="2"/>
      <c r="L796" s="2"/>
    </row>
    <row r="797">
      <c r="E797" s="37"/>
      <c r="K797" s="2"/>
      <c r="L797" s="2"/>
    </row>
    <row r="798">
      <c r="E798" s="37"/>
      <c r="K798" s="2"/>
      <c r="L798" s="2"/>
    </row>
    <row r="799">
      <c r="E799" s="37"/>
      <c r="K799" s="2"/>
      <c r="L799" s="2"/>
    </row>
    <row r="800">
      <c r="E800" s="37"/>
      <c r="K800" s="2"/>
      <c r="L800" s="2"/>
    </row>
    <row r="801">
      <c r="E801" s="37"/>
      <c r="K801" s="2"/>
      <c r="L801" s="2"/>
    </row>
    <row r="802">
      <c r="E802" s="37"/>
      <c r="K802" s="2"/>
      <c r="L802" s="2"/>
    </row>
    <row r="803">
      <c r="E803" s="37"/>
      <c r="K803" s="2"/>
      <c r="L803" s="2"/>
    </row>
    <row r="804">
      <c r="E804" s="37"/>
      <c r="K804" s="2"/>
      <c r="L804" s="2"/>
    </row>
    <row r="805">
      <c r="E805" s="37"/>
      <c r="K805" s="2"/>
      <c r="L805" s="2"/>
    </row>
    <row r="806">
      <c r="E806" s="37"/>
      <c r="K806" s="2"/>
      <c r="L806" s="2"/>
    </row>
    <row r="807">
      <c r="E807" s="37"/>
      <c r="K807" s="2"/>
      <c r="L807" s="2"/>
    </row>
    <row r="808">
      <c r="E808" s="37"/>
      <c r="K808" s="2"/>
      <c r="L808" s="2"/>
    </row>
    <row r="809">
      <c r="E809" s="37"/>
      <c r="K809" s="2"/>
      <c r="L809" s="2"/>
    </row>
    <row r="810">
      <c r="E810" s="37"/>
      <c r="K810" s="2"/>
      <c r="L810" s="2"/>
    </row>
    <row r="811">
      <c r="E811" s="37"/>
      <c r="K811" s="2"/>
      <c r="L811" s="2"/>
    </row>
    <row r="812">
      <c r="E812" s="37"/>
      <c r="K812" s="2"/>
      <c r="L812" s="2"/>
    </row>
    <row r="813">
      <c r="E813" s="37"/>
      <c r="K813" s="2"/>
      <c r="L813" s="2"/>
    </row>
    <row r="814">
      <c r="E814" s="37"/>
      <c r="K814" s="2"/>
      <c r="L814" s="2"/>
    </row>
    <row r="815">
      <c r="E815" s="37"/>
      <c r="K815" s="2"/>
      <c r="L815" s="2"/>
    </row>
    <row r="816">
      <c r="E816" s="37"/>
      <c r="K816" s="2"/>
      <c r="L816" s="2"/>
    </row>
  </sheetData>
  <mergeCells count="817">
    <mergeCell ref="A1:E1"/>
    <mergeCell ref="S1:T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12:C812"/>
    <mergeCell ref="B813:C813"/>
    <mergeCell ref="B814:C814"/>
    <mergeCell ref="B815:C815"/>
    <mergeCell ref="B816:C816"/>
    <mergeCell ref="B805:C805"/>
    <mergeCell ref="B806:C806"/>
    <mergeCell ref="B807:C807"/>
    <mergeCell ref="B808:C808"/>
    <mergeCell ref="B809:C809"/>
    <mergeCell ref="B810:C810"/>
    <mergeCell ref="B811:C811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</mergeCells>
  <dataValidations>
    <dataValidation type="list" allowBlank="1" showErrorMessage="1" sqref="S1 B4:B20">
      <formula1>Data!$F$1:$F$1000</formula1>
    </dataValidation>
    <dataValidation type="list" allowBlank="1" showErrorMessage="1" sqref="A4">
      <formula1>"Approved,Rejected,Pending"</formula1>
    </dataValidation>
    <dataValidation type="custom" allowBlank="1" showDropDown="1" showErrorMessage="1" sqref="AB1:AC1 K4:L816">
      <formula1>OR(NOT(ISERROR(DATEVALUE(K1))), AND(ISNUMBER(K1), LEFT(CELL("format", K1))="D"))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52</v>
      </c>
      <c r="B2" s="41"/>
      <c r="C2" s="15"/>
      <c r="D2" s="21"/>
      <c r="E2" s="42" t="s">
        <v>53</v>
      </c>
      <c r="F2" s="43"/>
      <c r="G2" s="42" t="s">
        <v>54</v>
      </c>
      <c r="H2" s="44"/>
    </row>
    <row r="3">
      <c r="A3" s="45" t="s">
        <v>55</v>
      </c>
      <c r="B3" s="46"/>
      <c r="C3" s="15"/>
      <c r="D3" s="21"/>
      <c r="E3" s="47" t="s">
        <v>56</v>
      </c>
      <c r="F3" s="48"/>
      <c r="G3" s="42" t="s">
        <v>57</v>
      </c>
      <c r="H3" s="44"/>
    </row>
    <row r="4">
      <c r="A4" s="49"/>
      <c r="B4" s="15"/>
      <c r="C4" s="15"/>
      <c r="D4" s="21"/>
      <c r="E4" s="42" t="s">
        <v>58</v>
      </c>
      <c r="F4" s="43"/>
      <c r="G4" s="42" t="s">
        <v>59</v>
      </c>
      <c r="H4" s="44"/>
    </row>
    <row r="5">
      <c r="A5" s="49"/>
      <c r="B5" s="15"/>
      <c r="C5" s="15"/>
      <c r="D5" s="21"/>
      <c r="E5" s="42" t="s">
        <v>60</v>
      </c>
      <c r="F5" s="50"/>
      <c r="G5" s="51" t="s">
        <v>61</v>
      </c>
      <c r="H5" s="44"/>
    </row>
    <row r="6">
      <c r="A6" s="52" t="s">
        <v>62</v>
      </c>
      <c r="B6" s="52"/>
      <c r="C6" s="52" t="s">
        <v>63</v>
      </c>
      <c r="D6" s="53"/>
      <c r="E6" s="54" t="s">
        <v>64</v>
      </c>
      <c r="F6" s="39"/>
      <c r="G6" s="13"/>
      <c r="H6" s="55"/>
    </row>
    <row r="7">
      <c r="A7" s="56"/>
      <c r="B7" s="56" t="s">
        <v>65</v>
      </c>
      <c r="C7" s="57"/>
      <c r="D7" s="58" t="s">
        <v>66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61"/>
      <c r="B8" s="62"/>
      <c r="C8" s="57"/>
      <c r="D8" s="58" t="s">
        <v>66</v>
      </c>
      <c r="E8" s="59"/>
      <c r="F8" s="15"/>
      <c r="G8" s="21"/>
      <c r="H8" s="60" t="str">
        <f t="shared" si="1"/>
        <v/>
      </c>
    </row>
    <row r="9">
      <c r="A9" s="63"/>
      <c r="B9" s="62"/>
      <c r="C9" s="57"/>
      <c r="D9" s="58" t="s">
        <v>66</v>
      </c>
      <c r="E9" s="59"/>
      <c r="F9" s="15"/>
      <c r="G9" s="21"/>
      <c r="H9" s="60" t="str">
        <f t="shared" si="1"/>
        <v/>
      </c>
    </row>
    <row r="10">
      <c r="A10" s="63"/>
      <c r="B10" s="62"/>
      <c r="C10" s="57"/>
      <c r="D10" s="58" t="s">
        <v>66</v>
      </c>
      <c r="E10" s="59"/>
      <c r="F10" s="15"/>
      <c r="G10" s="21"/>
      <c r="H10" s="60" t="str">
        <f t="shared" si="1"/>
        <v/>
      </c>
    </row>
    <row r="11">
      <c r="A11" s="63"/>
      <c r="B11" s="62"/>
      <c r="C11" s="57"/>
      <c r="D11" s="58" t="s">
        <v>66</v>
      </c>
      <c r="E11" s="59"/>
      <c r="F11" s="15"/>
      <c r="G11" s="21"/>
      <c r="H11" s="60" t="str">
        <f t="shared" si="1"/>
        <v/>
      </c>
    </row>
    <row r="12">
      <c r="A12" s="63"/>
      <c r="B12" s="62"/>
      <c r="C12" s="57"/>
      <c r="D12" s="58" t="s">
        <v>66</v>
      </c>
      <c r="E12" s="59"/>
      <c r="F12" s="15"/>
      <c r="G12" s="21"/>
      <c r="H12" s="60" t="str">
        <f t="shared" si="1"/>
        <v/>
      </c>
    </row>
    <row r="13">
      <c r="A13" s="63"/>
      <c r="B13" s="62"/>
      <c r="C13" s="57"/>
      <c r="D13" s="58" t="s">
        <v>66</v>
      </c>
      <c r="E13" s="59"/>
      <c r="F13" s="15"/>
      <c r="G13" s="21"/>
      <c r="H13" s="60" t="str">
        <f t="shared" si="1"/>
        <v/>
      </c>
    </row>
    <row r="14">
      <c r="A14" s="63"/>
      <c r="B14" s="64" t="s">
        <v>67</v>
      </c>
      <c r="C14" s="65"/>
      <c r="D14" s="66" t="s">
        <v>66</v>
      </c>
      <c r="E14" s="59"/>
      <c r="F14" s="15"/>
      <c r="G14" s="21"/>
      <c r="H14" s="67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68</v>
      </c>
      <c r="C15" s="69"/>
      <c r="D15" s="66" t="s">
        <v>66</v>
      </c>
      <c r="E15" s="59"/>
      <c r="F15" s="15"/>
      <c r="G15" s="21"/>
      <c r="H15" s="6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69</v>
      </c>
      <c r="C16" s="21"/>
      <c r="D16" s="66" t="s">
        <v>66</v>
      </c>
      <c r="E16" s="59"/>
      <c r="F16" s="15"/>
      <c r="G16" s="21"/>
      <c r="H16" s="6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/>
      <c r="B17" s="71" t="s">
        <v>70</v>
      </c>
      <c r="C17" s="72"/>
      <c r="D17" s="73" t="s">
        <v>66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74"/>
      <c r="B18" s="75"/>
      <c r="C18" s="72"/>
      <c r="D18" s="73" t="s">
        <v>66</v>
      </c>
      <c r="E18" s="49"/>
      <c r="F18" s="15"/>
      <c r="G18" s="21"/>
      <c r="H18" s="60" t="str">
        <f t="shared" si="3"/>
        <v/>
      </c>
    </row>
    <row r="19">
      <c r="A19" s="63"/>
      <c r="B19" s="75"/>
      <c r="C19" s="72"/>
      <c r="D19" s="73" t="s">
        <v>66</v>
      </c>
      <c r="E19" s="49"/>
      <c r="F19" s="15"/>
      <c r="G19" s="21"/>
      <c r="H19" s="60" t="str">
        <f t="shared" si="3"/>
        <v/>
      </c>
    </row>
    <row r="20">
      <c r="A20" s="63"/>
      <c r="B20" s="75"/>
      <c r="C20" s="72"/>
      <c r="D20" s="73" t="s">
        <v>66</v>
      </c>
      <c r="E20" s="49"/>
      <c r="F20" s="15"/>
      <c r="G20" s="21"/>
      <c r="H20" s="60" t="str">
        <f t="shared" si="3"/>
        <v/>
      </c>
    </row>
    <row r="21">
      <c r="A21" s="63"/>
      <c r="B21" s="75"/>
      <c r="C21" s="72"/>
      <c r="D21" s="73" t="s">
        <v>66</v>
      </c>
      <c r="E21" s="49"/>
      <c r="F21" s="15"/>
      <c r="G21" s="21"/>
      <c r="H21" s="60" t="str">
        <f t="shared" si="3"/>
        <v/>
      </c>
    </row>
    <row r="22">
      <c r="A22" s="63"/>
      <c r="B22" s="75"/>
      <c r="C22" s="72"/>
      <c r="D22" s="73" t="s">
        <v>66</v>
      </c>
      <c r="E22" s="49"/>
      <c r="F22" s="15"/>
      <c r="G22" s="21"/>
      <c r="H22" s="60" t="str">
        <f t="shared" si="3"/>
        <v/>
      </c>
    </row>
    <row r="23">
      <c r="A23" s="63"/>
      <c r="B23" s="75"/>
      <c r="C23" s="72"/>
      <c r="D23" s="73" t="s">
        <v>66</v>
      </c>
      <c r="E23" s="49"/>
      <c r="F23" s="15"/>
      <c r="G23" s="21"/>
      <c r="H23" s="60" t="str">
        <f t="shared" si="3"/>
        <v/>
      </c>
    </row>
    <row r="24">
      <c r="A24" s="63"/>
      <c r="B24" s="76" t="s">
        <v>71</v>
      </c>
      <c r="C24" s="77"/>
      <c r="D24" s="78" t="s">
        <v>66</v>
      </c>
      <c r="E24" s="49"/>
      <c r="F24" s="15"/>
      <c r="G24" s="21"/>
      <c r="H24" s="67" t="str">
        <f t="shared" ref="H24:H26" si="4">IF(D24="Pass", "Pass", IF(D24="Fail", "Fail", ""))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72</v>
      </c>
      <c r="C25" s="69"/>
      <c r="D25" s="78" t="s">
        <v>66</v>
      </c>
      <c r="E25" s="49"/>
      <c r="F25" s="15"/>
      <c r="G25" s="21"/>
      <c r="H25" s="6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73</v>
      </c>
      <c r="C26" s="21"/>
      <c r="D26" s="78" t="s">
        <v>66</v>
      </c>
      <c r="E26" s="49"/>
      <c r="F26" s="15"/>
      <c r="G26" s="21"/>
      <c r="H26" s="6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/>
      <c r="B27" s="56" t="s">
        <v>70</v>
      </c>
      <c r="C27" s="57"/>
      <c r="D27" s="58" t="s">
        <v>66</v>
      </c>
      <c r="E27" s="59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61"/>
      <c r="B28" s="62"/>
      <c r="C28" s="57"/>
      <c r="D28" s="58" t="s">
        <v>66</v>
      </c>
      <c r="E28" s="59"/>
      <c r="F28" s="15"/>
      <c r="G28" s="21"/>
      <c r="H28" s="60" t="str">
        <f t="shared" si="5"/>
        <v/>
      </c>
    </row>
    <row r="29">
      <c r="A29" s="63"/>
      <c r="B29" s="62"/>
      <c r="C29" s="57"/>
      <c r="D29" s="58" t="s">
        <v>66</v>
      </c>
      <c r="E29" s="59"/>
      <c r="F29" s="15"/>
      <c r="G29" s="21"/>
      <c r="H29" s="60" t="str">
        <f t="shared" si="5"/>
        <v/>
      </c>
    </row>
    <row r="30">
      <c r="A30" s="63"/>
      <c r="B30" s="62"/>
      <c r="C30" s="57"/>
      <c r="D30" s="58" t="s">
        <v>66</v>
      </c>
      <c r="E30" s="59"/>
      <c r="F30" s="15"/>
      <c r="G30" s="21"/>
      <c r="H30" s="60" t="str">
        <f t="shared" si="5"/>
        <v/>
      </c>
    </row>
    <row r="31">
      <c r="A31" s="63"/>
      <c r="B31" s="62"/>
      <c r="C31" s="57"/>
      <c r="D31" s="58" t="s">
        <v>66</v>
      </c>
      <c r="E31" s="59"/>
      <c r="F31" s="15"/>
      <c r="G31" s="21"/>
      <c r="H31" s="60" t="str">
        <f t="shared" si="5"/>
        <v/>
      </c>
    </row>
    <row r="32">
      <c r="A32" s="63"/>
      <c r="B32" s="62"/>
      <c r="C32" s="57"/>
      <c r="D32" s="58" t="s">
        <v>66</v>
      </c>
      <c r="E32" s="59"/>
      <c r="F32" s="15"/>
      <c r="G32" s="21"/>
      <c r="H32" s="60" t="str">
        <f t="shared" si="5"/>
        <v/>
      </c>
    </row>
    <row r="33">
      <c r="A33" s="63"/>
      <c r="B33" s="62"/>
      <c r="C33" s="57"/>
      <c r="D33" s="58" t="s">
        <v>66</v>
      </c>
      <c r="E33" s="59"/>
      <c r="F33" s="15"/>
      <c r="G33" s="21"/>
      <c r="H33" s="60" t="str">
        <f t="shared" si="5"/>
        <v/>
      </c>
    </row>
    <row r="34">
      <c r="A34" s="63"/>
      <c r="B34" s="64" t="s">
        <v>74</v>
      </c>
      <c r="C34" s="65"/>
      <c r="D34" s="66" t="s">
        <v>66</v>
      </c>
      <c r="E34" s="59"/>
      <c r="F34" s="15"/>
      <c r="G34" s="21"/>
      <c r="H34" s="67" t="str">
        <f t="shared" ref="H34:H36" si="6">IF(D34="Pass", "Pass", IF(D34="Fail", "Fail", ""))</f>
        <v/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75</v>
      </c>
      <c r="C35" s="69"/>
      <c r="D35" s="66" t="s">
        <v>66</v>
      </c>
      <c r="E35" s="59"/>
      <c r="F35" s="15"/>
      <c r="G35" s="21"/>
      <c r="H35" s="67" t="str">
        <f t="shared" si="6"/>
        <v/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76</v>
      </c>
      <c r="C36" s="21"/>
      <c r="D36" s="66" t="s">
        <v>66</v>
      </c>
      <c r="E36" s="59"/>
      <c r="F36" s="15"/>
      <c r="G36" s="21"/>
      <c r="H36" s="67" t="str">
        <f t="shared" si="6"/>
        <v/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/>
      <c r="B37" s="71" t="s">
        <v>70</v>
      </c>
      <c r="C37" s="72"/>
      <c r="D37" s="73" t="s">
        <v>66</v>
      </c>
      <c r="E37" s="49"/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/>
      </c>
    </row>
    <row r="38">
      <c r="A38" s="74"/>
      <c r="B38" s="75"/>
      <c r="C38" s="72"/>
      <c r="D38" s="73" t="s">
        <v>66</v>
      </c>
      <c r="E38" s="49"/>
      <c r="F38" s="15"/>
      <c r="G38" s="21"/>
      <c r="H38" s="60" t="str">
        <f t="shared" si="7"/>
        <v/>
      </c>
    </row>
    <row r="39">
      <c r="A39" s="63"/>
      <c r="B39" s="75"/>
      <c r="C39" s="72"/>
      <c r="D39" s="73" t="s">
        <v>66</v>
      </c>
      <c r="E39" s="49"/>
      <c r="F39" s="15"/>
      <c r="G39" s="21"/>
      <c r="H39" s="60" t="str">
        <f t="shared" si="7"/>
        <v/>
      </c>
    </row>
    <row r="40">
      <c r="A40" s="63"/>
      <c r="B40" s="75"/>
      <c r="C40" s="72"/>
      <c r="D40" s="73" t="s">
        <v>66</v>
      </c>
      <c r="E40" s="49"/>
      <c r="F40" s="15"/>
      <c r="G40" s="21"/>
      <c r="H40" s="60" t="str">
        <f t="shared" si="7"/>
        <v/>
      </c>
    </row>
    <row r="41">
      <c r="A41" s="63"/>
      <c r="B41" s="75"/>
      <c r="C41" s="72"/>
      <c r="D41" s="73" t="s">
        <v>66</v>
      </c>
      <c r="E41" s="49"/>
      <c r="F41" s="15"/>
      <c r="G41" s="21"/>
      <c r="H41" s="60" t="str">
        <f t="shared" si="7"/>
        <v/>
      </c>
    </row>
    <row r="42">
      <c r="A42" s="63"/>
      <c r="B42" s="75"/>
      <c r="C42" s="72"/>
      <c r="D42" s="73" t="s">
        <v>66</v>
      </c>
      <c r="E42" s="49"/>
      <c r="F42" s="15"/>
      <c r="G42" s="21"/>
      <c r="H42" s="60" t="str">
        <f t="shared" si="7"/>
        <v/>
      </c>
    </row>
    <row r="43">
      <c r="A43" s="63"/>
      <c r="B43" s="75"/>
      <c r="C43" s="72"/>
      <c r="D43" s="73" t="s">
        <v>66</v>
      </c>
      <c r="E43" s="49"/>
      <c r="F43" s="15"/>
      <c r="G43" s="21"/>
      <c r="H43" s="60" t="str">
        <f t="shared" si="7"/>
        <v/>
      </c>
    </row>
    <row r="44">
      <c r="A44" s="63"/>
      <c r="B44" s="76" t="s">
        <v>77</v>
      </c>
      <c r="C44" s="77"/>
      <c r="D44" s="78" t="s">
        <v>66</v>
      </c>
      <c r="E44" s="49"/>
      <c r="F44" s="15"/>
      <c r="G44" s="21"/>
      <c r="H44" s="67" t="str">
        <f t="shared" ref="H44:H46" si="8">IF(D44="Pass", "Pass", IF(D44="Fail", "Fail", ""))</f>
        <v/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78</v>
      </c>
      <c r="C45" s="69"/>
      <c r="D45" s="78" t="s">
        <v>66</v>
      </c>
      <c r="E45" s="49"/>
      <c r="F45" s="15"/>
      <c r="G45" s="21"/>
      <c r="H45" s="67" t="str">
        <f t="shared" si="8"/>
        <v/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79</v>
      </c>
      <c r="C46" s="21"/>
      <c r="D46" s="78" t="s">
        <v>66</v>
      </c>
      <c r="E46" s="49"/>
      <c r="F46" s="15"/>
      <c r="G46" s="21"/>
      <c r="H46" s="67" t="str">
        <f t="shared" si="8"/>
        <v/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/>
      <c r="B47" s="56" t="s">
        <v>70</v>
      </c>
      <c r="C47" s="57"/>
      <c r="D47" s="58" t="s">
        <v>66</v>
      </c>
      <c r="E47" s="59"/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/>
      </c>
    </row>
    <row r="48">
      <c r="A48" s="61"/>
      <c r="B48" s="62"/>
      <c r="C48" s="57"/>
      <c r="D48" s="58" t="s">
        <v>66</v>
      </c>
      <c r="E48" s="59"/>
      <c r="F48" s="15"/>
      <c r="G48" s="21"/>
      <c r="H48" s="60" t="str">
        <f t="shared" si="9"/>
        <v/>
      </c>
    </row>
    <row r="49">
      <c r="A49" s="63"/>
      <c r="B49" s="62"/>
      <c r="C49" s="57"/>
      <c r="D49" s="58" t="s">
        <v>66</v>
      </c>
      <c r="E49" s="59"/>
      <c r="F49" s="15"/>
      <c r="G49" s="21"/>
      <c r="H49" s="60" t="str">
        <f t="shared" si="9"/>
        <v/>
      </c>
    </row>
    <row r="50">
      <c r="A50" s="63"/>
      <c r="B50" s="62"/>
      <c r="C50" s="57"/>
      <c r="D50" s="58" t="s">
        <v>66</v>
      </c>
      <c r="E50" s="59"/>
      <c r="F50" s="15"/>
      <c r="G50" s="21"/>
      <c r="H50" s="60" t="str">
        <f t="shared" si="9"/>
        <v/>
      </c>
    </row>
    <row r="51">
      <c r="A51" s="63"/>
      <c r="B51" s="62"/>
      <c r="C51" s="57"/>
      <c r="D51" s="58" t="s">
        <v>66</v>
      </c>
      <c r="E51" s="59"/>
      <c r="F51" s="15"/>
      <c r="G51" s="21"/>
      <c r="H51" s="60" t="str">
        <f t="shared" si="9"/>
        <v/>
      </c>
    </row>
    <row r="52">
      <c r="A52" s="63"/>
      <c r="B52" s="62"/>
      <c r="C52" s="57"/>
      <c r="D52" s="58" t="s">
        <v>66</v>
      </c>
      <c r="E52" s="59"/>
      <c r="F52" s="15"/>
      <c r="G52" s="21"/>
      <c r="H52" s="60" t="str">
        <f t="shared" si="9"/>
        <v/>
      </c>
    </row>
    <row r="53">
      <c r="A53" s="63"/>
      <c r="B53" s="62"/>
      <c r="C53" s="57"/>
      <c r="D53" s="58" t="s">
        <v>66</v>
      </c>
      <c r="E53" s="59"/>
      <c r="F53" s="15"/>
      <c r="G53" s="21"/>
      <c r="H53" s="60" t="str">
        <f t="shared" si="9"/>
        <v/>
      </c>
    </row>
    <row r="54">
      <c r="A54" s="63"/>
      <c r="B54" s="80" t="s">
        <v>80</v>
      </c>
      <c r="C54" s="81"/>
      <c r="D54" s="58" t="s">
        <v>66</v>
      </c>
      <c r="E54" s="59"/>
      <c r="F54" s="15"/>
      <c r="G54" s="21"/>
      <c r="H54" s="82" t="str">
        <f t="shared" ref="H54:H56" si="10">IF(D54="Pass", "Pass", IF(D54="Fail", "Fail", ""))</f>
        <v/>
      </c>
    </row>
    <row r="55">
      <c r="A55" s="63"/>
      <c r="B55" s="80" t="s">
        <v>81</v>
      </c>
      <c r="C55" s="69"/>
      <c r="D55" s="58" t="s">
        <v>66</v>
      </c>
      <c r="E55" s="59"/>
      <c r="F55" s="15"/>
      <c r="G55" s="21"/>
      <c r="H55" s="82" t="str">
        <f t="shared" si="10"/>
        <v/>
      </c>
    </row>
    <row r="56">
      <c r="A56" s="70"/>
      <c r="B56" s="80" t="s">
        <v>82</v>
      </c>
      <c r="C56" s="21"/>
      <c r="D56" s="58" t="s">
        <v>66</v>
      </c>
      <c r="E56" s="59"/>
      <c r="F56" s="15"/>
      <c r="G56" s="21"/>
      <c r="H56" s="82" t="str">
        <f t="shared" si="10"/>
        <v/>
      </c>
    </row>
    <row r="57">
      <c r="A57" s="83" t="s">
        <v>83</v>
      </c>
      <c r="B57" s="15"/>
      <c r="C57" s="21"/>
      <c r="D57" s="84" t="s">
        <v>84</v>
      </c>
      <c r="E57" s="15"/>
      <c r="F57" s="15"/>
      <c r="G57" s="15"/>
      <c r="H57" s="85"/>
    </row>
    <row r="58">
      <c r="A58" s="86" t="s">
        <v>1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85</v>
      </c>
      <c r="B2" s="89"/>
      <c r="C2" s="15"/>
      <c r="D2" s="21"/>
      <c r="E2" s="42" t="s">
        <v>53</v>
      </c>
      <c r="F2" s="43"/>
      <c r="G2" s="42" t="s">
        <v>54</v>
      </c>
      <c r="H2" s="44"/>
    </row>
    <row r="3">
      <c r="A3" s="90" t="s">
        <v>55</v>
      </c>
      <c r="B3" s="91"/>
      <c r="C3" s="15"/>
      <c r="D3" s="21"/>
      <c r="E3" s="47" t="s">
        <v>56</v>
      </c>
      <c r="F3" s="48"/>
      <c r="G3" s="42" t="s">
        <v>57</v>
      </c>
      <c r="H3" s="44"/>
    </row>
    <row r="4">
      <c r="A4" s="92"/>
      <c r="B4" s="15"/>
      <c r="C4" s="15"/>
      <c r="D4" s="21"/>
      <c r="E4" s="42" t="s">
        <v>58</v>
      </c>
      <c r="F4" s="43"/>
      <c r="G4" s="42" t="s">
        <v>59</v>
      </c>
      <c r="H4" s="44"/>
    </row>
    <row r="5">
      <c r="A5" s="92"/>
      <c r="B5" s="15"/>
      <c r="C5" s="15"/>
      <c r="D5" s="21"/>
      <c r="E5" s="42" t="s">
        <v>60</v>
      </c>
      <c r="F5" s="50"/>
      <c r="G5" s="51" t="s">
        <v>86</v>
      </c>
      <c r="H5" s="44"/>
    </row>
    <row r="6">
      <c r="A6" s="93" t="s">
        <v>87</v>
      </c>
      <c r="B6" s="93"/>
      <c r="C6" s="52" t="s">
        <v>88</v>
      </c>
      <c r="D6" s="53"/>
      <c r="E6" s="54" t="s">
        <v>89</v>
      </c>
      <c r="F6" s="39"/>
      <c r="G6" s="13"/>
      <c r="H6" s="55"/>
    </row>
    <row r="7">
      <c r="A7" s="56"/>
      <c r="B7" s="94" t="s">
        <v>90</v>
      </c>
      <c r="C7" s="57"/>
      <c r="D7" s="58" t="s">
        <v>66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5"/>
      <c r="B8" s="96"/>
      <c r="C8" s="57"/>
      <c r="D8" s="58" t="s">
        <v>66</v>
      </c>
      <c r="E8" s="59"/>
      <c r="F8" s="15"/>
      <c r="G8" s="21"/>
      <c r="H8" s="60" t="str">
        <f t="shared" si="1"/>
        <v/>
      </c>
    </row>
    <row r="9">
      <c r="A9" s="63"/>
      <c r="B9" s="96"/>
      <c r="C9" s="57"/>
      <c r="D9" s="58" t="s">
        <v>66</v>
      </c>
      <c r="E9" s="59"/>
      <c r="F9" s="15"/>
      <c r="G9" s="21"/>
      <c r="H9" s="60" t="str">
        <f t="shared" si="1"/>
        <v/>
      </c>
    </row>
    <row r="10">
      <c r="A10" s="63"/>
      <c r="B10" s="96"/>
      <c r="C10" s="57"/>
      <c r="D10" s="58" t="s">
        <v>66</v>
      </c>
      <c r="E10" s="59"/>
      <c r="F10" s="15"/>
      <c r="G10" s="21"/>
      <c r="H10" s="60" t="str">
        <f t="shared" si="1"/>
        <v/>
      </c>
    </row>
    <row r="11">
      <c r="A11" s="63"/>
      <c r="B11" s="96"/>
      <c r="C11" s="57"/>
      <c r="D11" s="58" t="s">
        <v>66</v>
      </c>
      <c r="E11" s="59"/>
      <c r="F11" s="15"/>
      <c r="G11" s="21"/>
      <c r="H11" s="60" t="str">
        <f t="shared" si="1"/>
        <v/>
      </c>
    </row>
    <row r="12">
      <c r="A12" s="63"/>
      <c r="B12" s="96"/>
      <c r="C12" s="57"/>
      <c r="D12" s="58" t="s">
        <v>66</v>
      </c>
      <c r="E12" s="59"/>
      <c r="F12" s="15"/>
      <c r="G12" s="21"/>
      <c r="H12" s="60" t="str">
        <f t="shared" si="1"/>
        <v/>
      </c>
    </row>
    <row r="13">
      <c r="A13" s="63"/>
      <c r="B13" s="96"/>
      <c r="C13" s="57"/>
      <c r="D13" s="58" t="s">
        <v>66</v>
      </c>
      <c r="E13" s="59"/>
      <c r="F13" s="15"/>
      <c r="G13" s="21"/>
      <c r="H13" s="60" t="str">
        <f t="shared" si="1"/>
        <v/>
      </c>
    </row>
    <row r="14">
      <c r="A14" s="63"/>
      <c r="B14" s="64" t="s">
        <v>91</v>
      </c>
      <c r="C14" s="65"/>
      <c r="D14" s="97" t="s">
        <v>66</v>
      </c>
      <c r="E14" s="59"/>
      <c r="F14" s="15"/>
      <c r="G14" s="21"/>
      <c r="H14" s="98" t="str">
        <f t="shared" ref="H14:H16" si="2">IF(D14="Pass", "Pass", IF(D14="Fail", "Fail", ""))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92</v>
      </c>
      <c r="C15" s="69"/>
      <c r="D15" s="66" t="s">
        <v>66</v>
      </c>
      <c r="E15" s="59"/>
      <c r="F15" s="15"/>
      <c r="G15" s="21"/>
      <c r="H15" s="98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93</v>
      </c>
      <c r="C16" s="21"/>
      <c r="D16" s="66" t="s">
        <v>66</v>
      </c>
      <c r="E16" s="59"/>
      <c r="F16" s="15"/>
      <c r="G16" s="21"/>
      <c r="H16" s="98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/>
      <c r="B17" s="71" t="s">
        <v>65</v>
      </c>
      <c r="C17" s="72"/>
      <c r="D17" s="73" t="s">
        <v>66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9"/>
      <c r="B18" s="100"/>
      <c r="C18" s="72"/>
      <c r="D18" s="73" t="s">
        <v>66</v>
      </c>
      <c r="E18" s="49"/>
      <c r="F18" s="15"/>
      <c r="G18" s="21"/>
      <c r="H18" s="60" t="str">
        <f t="shared" si="3"/>
        <v/>
      </c>
    </row>
    <row r="19">
      <c r="A19" s="63"/>
      <c r="B19" s="100"/>
      <c r="C19" s="72"/>
      <c r="D19" s="73" t="s">
        <v>66</v>
      </c>
      <c r="E19" s="49"/>
      <c r="F19" s="15"/>
      <c r="G19" s="21"/>
      <c r="H19" s="60" t="str">
        <f t="shared" si="3"/>
        <v/>
      </c>
    </row>
    <row r="20">
      <c r="A20" s="63"/>
      <c r="B20" s="100"/>
      <c r="C20" s="72"/>
      <c r="D20" s="73" t="s">
        <v>66</v>
      </c>
      <c r="E20" s="49"/>
      <c r="F20" s="15"/>
      <c r="G20" s="21"/>
      <c r="H20" s="60" t="str">
        <f t="shared" si="3"/>
        <v/>
      </c>
    </row>
    <row r="21">
      <c r="A21" s="63"/>
      <c r="B21" s="100"/>
      <c r="C21" s="72"/>
      <c r="D21" s="73" t="s">
        <v>66</v>
      </c>
      <c r="E21" s="49"/>
      <c r="F21" s="15"/>
      <c r="G21" s="21"/>
      <c r="H21" s="60" t="str">
        <f t="shared" si="3"/>
        <v/>
      </c>
    </row>
    <row r="22">
      <c r="A22" s="63"/>
      <c r="B22" s="100"/>
      <c r="C22" s="72"/>
      <c r="D22" s="73" t="s">
        <v>66</v>
      </c>
      <c r="E22" s="49"/>
      <c r="F22" s="15"/>
      <c r="G22" s="21"/>
      <c r="H22" s="60" t="str">
        <f t="shared" si="3"/>
        <v/>
      </c>
    </row>
    <row r="23">
      <c r="A23" s="63"/>
      <c r="B23" s="100"/>
      <c r="C23" s="72"/>
      <c r="D23" s="73" t="s">
        <v>66</v>
      </c>
      <c r="E23" s="49"/>
      <c r="F23" s="15"/>
      <c r="G23" s="21"/>
      <c r="H23" s="60" t="str">
        <f t="shared" si="3"/>
        <v/>
      </c>
    </row>
    <row r="24">
      <c r="A24" s="63"/>
      <c r="B24" s="76" t="s">
        <v>94</v>
      </c>
      <c r="C24" s="101"/>
      <c r="D24" s="73" t="s">
        <v>66</v>
      </c>
      <c r="E24" s="49"/>
      <c r="F24" s="15"/>
      <c r="G24" s="21"/>
      <c r="H24" s="82" t="str">
        <f t="shared" ref="H24:H26" si="4">IF(D24="Pass", "Pass", IF(D24="Fail", "Fail", ""))</f>
        <v/>
      </c>
    </row>
    <row r="25">
      <c r="A25" s="63"/>
      <c r="B25" s="79" t="s">
        <v>95</v>
      </c>
      <c r="C25" s="69"/>
      <c r="D25" s="73" t="s">
        <v>66</v>
      </c>
      <c r="E25" s="49"/>
      <c r="F25" s="15"/>
      <c r="G25" s="21"/>
      <c r="H25" s="82" t="str">
        <f t="shared" si="4"/>
        <v/>
      </c>
    </row>
    <row r="26">
      <c r="A26" s="70"/>
      <c r="B26" s="79" t="s">
        <v>96</v>
      </c>
      <c r="C26" s="21"/>
      <c r="D26" s="73" t="s">
        <v>66</v>
      </c>
      <c r="E26" s="49"/>
      <c r="F26" s="15"/>
      <c r="G26" s="21"/>
      <c r="H26" s="82" t="str">
        <f t="shared" si="4"/>
        <v/>
      </c>
    </row>
    <row r="27">
      <c r="A27" s="102" t="s">
        <v>83</v>
      </c>
      <c r="B27" s="15"/>
      <c r="C27" s="21"/>
      <c r="D27" s="54" t="s">
        <v>97</v>
      </c>
      <c r="E27" s="39"/>
      <c r="F27" s="39"/>
      <c r="G27" s="13"/>
      <c r="H27" s="55"/>
    </row>
    <row r="28">
      <c r="A28" s="103" t="s">
        <v>1</v>
      </c>
      <c r="B28" s="15"/>
      <c r="C28" s="21"/>
      <c r="D28" s="49"/>
      <c r="E28" s="15"/>
      <c r="F28" s="15"/>
      <c r="G28" s="15"/>
      <c r="H28" s="21"/>
    </row>
    <row r="29">
      <c r="A29" s="104"/>
      <c r="B29" s="104"/>
    </row>
    <row r="30">
      <c r="A30" s="104"/>
      <c r="B30" s="104"/>
    </row>
    <row r="31">
      <c r="A31" s="104"/>
      <c r="B31" s="104"/>
    </row>
    <row r="32">
      <c r="A32" s="104"/>
      <c r="B32" s="104"/>
    </row>
    <row r="33">
      <c r="A33" s="104"/>
      <c r="B33" s="104"/>
    </row>
    <row r="34">
      <c r="A34" s="104"/>
      <c r="B34" s="104"/>
    </row>
    <row r="35">
      <c r="A35" s="104"/>
      <c r="B35" s="104"/>
    </row>
    <row r="36">
      <c r="A36" s="104"/>
      <c r="B36" s="104"/>
    </row>
    <row r="37">
      <c r="A37" s="104"/>
      <c r="B37" s="104"/>
    </row>
    <row r="38">
      <c r="A38" s="104"/>
      <c r="B38" s="104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98</v>
      </c>
      <c r="B2" s="89"/>
      <c r="C2" s="15"/>
      <c r="D2" s="21"/>
      <c r="E2" s="42" t="s">
        <v>53</v>
      </c>
      <c r="F2" s="43"/>
      <c r="G2" s="42" t="s">
        <v>54</v>
      </c>
      <c r="H2" s="44"/>
    </row>
    <row r="3">
      <c r="A3" s="90" t="s">
        <v>55</v>
      </c>
      <c r="B3" s="91"/>
      <c r="C3" s="15"/>
      <c r="D3" s="21"/>
      <c r="E3" s="47" t="s">
        <v>56</v>
      </c>
      <c r="F3" s="48"/>
      <c r="G3" s="42" t="s">
        <v>57</v>
      </c>
      <c r="H3" s="44"/>
    </row>
    <row r="4">
      <c r="A4" s="92"/>
      <c r="B4" s="15"/>
      <c r="C4" s="15"/>
      <c r="D4" s="21"/>
      <c r="E4" s="42" t="s">
        <v>58</v>
      </c>
      <c r="F4" s="43"/>
      <c r="G4" s="42" t="s">
        <v>59</v>
      </c>
      <c r="H4" s="44"/>
    </row>
    <row r="5">
      <c r="A5" s="92"/>
      <c r="B5" s="15"/>
      <c r="C5" s="15"/>
      <c r="D5" s="21"/>
      <c r="E5" s="42" t="s">
        <v>60</v>
      </c>
      <c r="F5" s="50"/>
      <c r="G5" s="51" t="s">
        <v>86</v>
      </c>
      <c r="H5" s="44"/>
    </row>
    <row r="6">
      <c r="A6" s="93" t="s">
        <v>99</v>
      </c>
      <c r="B6" s="93"/>
      <c r="C6" s="52" t="s">
        <v>100</v>
      </c>
      <c r="D6" s="53"/>
      <c r="E6" s="84" t="s">
        <v>101</v>
      </c>
      <c r="F6" s="15"/>
      <c r="G6" s="15"/>
      <c r="H6" s="85"/>
    </row>
    <row r="7">
      <c r="A7" s="56"/>
      <c r="B7" s="56" t="s">
        <v>65</v>
      </c>
      <c r="C7" s="57"/>
      <c r="D7" s="58" t="s">
        <v>66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5"/>
      <c r="B8" s="96"/>
      <c r="C8" s="57"/>
      <c r="D8" s="58" t="s">
        <v>66</v>
      </c>
      <c r="E8" s="59"/>
      <c r="F8" s="15"/>
      <c r="G8" s="21"/>
      <c r="H8" s="60" t="str">
        <f t="shared" si="1"/>
        <v/>
      </c>
    </row>
    <row r="9">
      <c r="A9" s="63"/>
      <c r="B9" s="96"/>
      <c r="C9" s="57"/>
      <c r="D9" s="58" t="s">
        <v>66</v>
      </c>
      <c r="E9" s="59"/>
      <c r="F9" s="15"/>
      <c r="G9" s="21"/>
      <c r="H9" s="60" t="str">
        <f t="shared" si="1"/>
        <v/>
      </c>
    </row>
    <row r="10">
      <c r="A10" s="63"/>
      <c r="B10" s="96"/>
      <c r="C10" s="57"/>
      <c r="D10" s="58" t="s">
        <v>66</v>
      </c>
      <c r="E10" s="59"/>
      <c r="F10" s="15"/>
      <c r="G10" s="21"/>
      <c r="H10" s="60" t="str">
        <f t="shared" si="1"/>
        <v/>
      </c>
    </row>
    <row r="11">
      <c r="A11" s="63"/>
      <c r="B11" s="96"/>
      <c r="C11" s="57"/>
      <c r="D11" s="58" t="s">
        <v>66</v>
      </c>
      <c r="E11" s="59"/>
      <c r="F11" s="15"/>
      <c r="G11" s="21"/>
      <c r="H11" s="60" t="str">
        <f t="shared" si="1"/>
        <v/>
      </c>
    </row>
    <row r="12">
      <c r="A12" s="63"/>
      <c r="B12" s="96"/>
      <c r="C12" s="57"/>
      <c r="D12" s="58" t="s">
        <v>66</v>
      </c>
      <c r="E12" s="59"/>
      <c r="F12" s="15"/>
      <c r="G12" s="21"/>
      <c r="H12" s="60" t="str">
        <f t="shared" si="1"/>
        <v/>
      </c>
    </row>
    <row r="13">
      <c r="A13" s="63"/>
      <c r="B13" s="96"/>
      <c r="C13" s="57"/>
      <c r="D13" s="58" t="s">
        <v>66</v>
      </c>
      <c r="E13" s="59"/>
      <c r="F13" s="15"/>
      <c r="G13" s="21"/>
      <c r="H13" s="60" t="str">
        <f t="shared" si="1"/>
        <v/>
      </c>
    </row>
    <row r="14">
      <c r="A14" s="63"/>
      <c r="B14" s="64" t="s">
        <v>102</v>
      </c>
      <c r="C14" s="65"/>
      <c r="D14" s="58" t="s">
        <v>66</v>
      </c>
      <c r="E14" s="59"/>
      <c r="F14" s="15"/>
      <c r="G14" s="21"/>
      <c r="H14" s="6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103</v>
      </c>
      <c r="C15" s="69"/>
      <c r="D15" s="58" t="s">
        <v>66</v>
      </c>
      <c r="E15" s="59"/>
      <c r="F15" s="15"/>
      <c r="G15" s="21"/>
      <c r="H15" s="6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104</v>
      </c>
      <c r="C16" s="21"/>
      <c r="D16" s="58" t="s">
        <v>66</v>
      </c>
      <c r="E16" s="59"/>
      <c r="F16" s="15"/>
      <c r="G16" s="21"/>
      <c r="H16" s="6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/>
      <c r="B17" s="71" t="s">
        <v>65</v>
      </c>
      <c r="C17" s="72"/>
      <c r="D17" s="73" t="s">
        <v>66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9"/>
      <c r="B18" s="100"/>
      <c r="C18" s="72"/>
      <c r="D18" s="73" t="s">
        <v>66</v>
      </c>
      <c r="E18" s="49"/>
      <c r="F18" s="15"/>
      <c r="G18" s="21"/>
      <c r="H18" s="60" t="str">
        <f t="shared" si="3"/>
        <v/>
      </c>
    </row>
    <row r="19">
      <c r="A19" s="63"/>
      <c r="B19" s="100"/>
      <c r="C19" s="72"/>
      <c r="D19" s="73" t="s">
        <v>66</v>
      </c>
      <c r="E19" s="49"/>
      <c r="F19" s="15"/>
      <c r="G19" s="21"/>
      <c r="H19" s="60" t="str">
        <f t="shared" si="3"/>
        <v/>
      </c>
    </row>
    <row r="20">
      <c r="A20" s="63"/>
      <c r="B20" s="100"/>
      <c r="C20" s="72"/>
      <c r="D20" s="73" t="s">
        <v>66</v>
      </c>
      <c r="E20" s="49"/>
      <c r="F20" s="15"/>
      <c r="G20" s="21"/>
      <c r="H20" s="60" t="str">
        <f t="shared" si="3"/>
        <v/>
      </c>
    </row>
    <row r="21">
      <c r="A21" s="63"/>
      <c r="B21" s="100"/>
      <c r="C21" s="72"/>
      <c r="D21" s="73" t="s">
        <v>66</v>
      </c>
      <c r="E21" s="49"/>
      <c r="F21" s="15"/>
      <c r="G21" s="21"/>
      <c r="H21" s="60" t="str">
        <f t="shared" si="3"/>
        <v/>
      </c>
    </row>
    <row r="22">
      <c r="A22" s="63"/>
      <c r="B22" s="100"/>
      <c r="C22" s="72"/>
      <c r="D22" s="73" t="s">
        <v>66</v>
      </c>
      <c r="E22" s="49"/>
      <c r="F22" s="15"/>
      <c r="G22" s="21"/>
      <c r="H22" s="60" t="str">
        <f t="shared" si="3"/>
        <v/>
      </c>
    </row>
    <row r="23">
      <c r="A23" s="63"/>
      <c r="B23" s="100"/>
      <c r="C23" s="72"/>
      <c r="D23" s="73" t="s">
        <v>66</v>
      </c>
      <c r="E23" s="49"/>
      <c r="F23" s="15"/>
      <c r="G23" s="21"/>
      <c r="H23" s="60" t="str">
        <f t="shared" si="3"/>
        <v/>
      </c>
    </row>
    <row r="24">
      <c r="A24" s="63"/>
      <c r="B24" s="76" t="s">
        <v>105</v>
      </c>
      <c r="C24" s="77"/>
      <c r="D24" s="73" t="s">
        <v>66</v>
      </c>
      <c r="E24" s="49"/>
      <c r="F24" s="15"/>
      <c r="G24" s="21"/>
      <c r="H24" s="6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106</v>
      </c>
      <c r="C25" s="69"/>
      <c r="D25" s="73" t="s">
        <v>66</v>
      </c>
      <c r="E25" s="49"/>
      <c r="F25" s="15"/>
      <c r="G25" s="21"/>
      <c r="H25" s="6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107</v>
      </c>
      <c r="C26" s="21"/>
      <c r="D26" s="73" t="s">
        <v>66</v>
      </c>
      <c r="E26" s="49"/>
      <c r="F26" s="15"/>
      <c r="G26" s="21"/>
      <c r="H26" s="6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/>
      <c r="B27" s="56" t="s">
        <v>65</v>
      </c>
      <c r="C27" s="57"/>
      <c r="D27" s="58" t="s">
        <v>66</v>
      </c>
      <c r="E27" s="59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95"/>
      <c r="B28" s="96"/>
      <c r="C28" s="57"/>
      <c r="D28" s="58" t="s">
        <v>66</v>
      </c>
      <c r="E28" s="59"/>
      <c r="F28" s="15"/>
      <c r="G28" s="21"/>
      <c r="H28" s="60" t="str">
        <f t="shared" si="5"/>
        <v/>
      </c>
    </row>
    <row r="29">
      <c r="A29" s="63"/>
      <c r="B29" s="96"/>
      <c r="C29" s="57"/>
      <c r="D29" s="58" t="s">
        <v>66</v>
      </c>
      <c r="E29" s="59"/>
      <c r="F29" s="15"/>
      <c r="G29" s="21"/>
      <c r="H29" s="60" t="str">
        <f t="shared" si="5"/>
        <v/>
      </c>
    </row>
    <row r="30">
      <c r="A30" s="63"/>
      <c r="B30" s="96"/>
      <c r="C30" s="57"/>
      <c r="D30" s="58" t="s">
        <v>66</v>
      </c>
      <c r="E30" s="59"/>
      <c r="F30" s="15"/>
      <c r="G30" s="21"/>
      <c r="H30" s="60" t="str">
        <f t="shared" si="5"/>
        <v/>
      </c>
    </row>
    <row r="31">
      <c r="A31" s="63"/>
      <c r="B31" s="96"/>
      <c r="C31" s="57"/>
      <c r="D31" s="58" t="s">
        <v>66</v>
      </c>
      <c r="E31" s="59"/>
      <c r="F31" s="15"/>
      <c r="G31" s="21"/>
      <c r="H31" s="60" t="str">
        <f t="shared" si="5"/>
        <v/>
      </c>
    </row>
    <row r="32">
      <c r="A32" s="63"/>
      <c r="B32" s="96"/>
      <c r="C32" s="57"/>
      <c r="D32" s="58" t="s">
        <v>66</v>
      </c>
      <c r="E32" s="59"/>
      <c r="F32" s="15"/>
      <c r="G32" s="21"/>
      <c r="H32" s="60" t="str">
        <f t="shared" si="5"/>
        <v/>
      </c>
    </row>
    <row r="33">
      <c r="A33" s="63"/>
      <c r="B33" s="96"/>
      <c r="C33" s="57"/>
      <c r="D33" s="58" t="s">
        <v>66</v>
      </c>
      <c r="E33" s="59"/>
      <c r="F33" s="15"/>
      <c r="G33" s="21"/>
      <c r="H33" s="60" t="str">
        <f t="shared" si="5"/>
        <v/>
      </c>
    </row>
    <row r="34">
      <c r="A34" s="63"/>
      <c r="B34" s="64" t="s">
        <v>108</v>
      </c>
      <c r="C34" s="81"/>
      <c r="D34" s="58" t="s">
        <v>66</v>
      </c>
      <c r="E34" s="59"/>
      <c r="F34" s="15"/>
      <c r="G34" s="21"/>
      <c r="H34" s="60" t="str">
        <f t="shared" ref="H34:H36" si="6">IF(D34="Pass", "Pass", IF(D34="Fail", "Fail", ""))
</f>
        <v/>
      </c>
    </row>
    <row r="35">
      <c r="A35" s="63"/>
      <c r="B35" s="68" t="s">
        <v>109</v>
      </c>
      <c r="C35" s="69"/>
      <c r="D35" s="58" t="s">
        <v>66</v>
      </c>
      <c r="E35" s="59"/>
      <c r="F35" s="15"/>
      <c r="G35" s="21"/>
      <c r="H35" s="60" t="str">
        <f t="shared" si="6"/>
        <v/>
      </c>
    </row>
    <row r="36">
      <c r="A36" s="70"/>
      <c r="B36" s="68" t="s">
        <v>110</v>
      </c>
      <c r="C36" s="21"/>
      <c r="D36" s="58" t="s">
        <v>66</v>
      </c>
      <c r="E36" s="59"/>
      <c r="F36" s="15"/>
      <c r="G36" s="21"/>
      <c r="H36" s="60" t="str">
        <f t="shared" si="6"/>
        <v/>
      </c>
    </row>
    <row r="37">
      <c r="A37" s="102" t="s">
        <v>83</v>
      </c>
      <c r="B37" s="15"/>
      <c r="C37" s="21"/>
      <c r="D37" s="54" t="s">
        <v>111</v>
      </c>
      <c r="E37" s="39"/>
      <c r="F37" s="39"/>
      <c r="G37" s="13"/>
      <c r="H37" s="55"/>
    </row>
    <row r="38">
      <c r="A38" s="103" t="s">
        <v>1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112</v>
      </c>
      <c r="B2" s="105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45" t="s">
        <v>55</v>
      </c>
      <c r="B3" s="46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2403477.0</v>
      </c>
    </row>
    <row r="4">
      <c r="A4" s="49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45543.0</v>
      </c>
    </row>
    <row r="5">
      <c r="A5" s="49"/>
      <c r="B5" s="15"/>
      <c r="C5" s="15"/>
      <c r="D5" s="21"/>
      <c r="E5" s="42" t="s">
        <v>60</v>
      </c>
      <c r="F5" s="110" t="s">
        <v>2</v>
      </c>
      <c r="G5" s="51" t="s">
        <v>61</v>
      </c>
      <c r="H5" s="108">
        <v>5.0</v>
      </c>
    </row>
    <row r="6">
      <c r="A6" s="52" t="s">
        <v>115</v>
      </c>
      <c r="B6" s="52"/>
      <c r="C6" s="52" t="s">
        <v>116</v>
      </c>
      <c r="D6" s="53"/>
      <c r="E6" s="54" t="s">
        <v>117</v>
      </c>
      <c r="F6" s="39"/>
      <c r="G6" s="13"/>
      <c r="H6" s="55"/>
    </row>
    <row r="7">
      <c r="A7" s="56" t="s">
        <v>118</v>
      </c>
      <c r="B7" s="56" t="s">
        <v>65</v>
      </c>
      <c r="C7" s="57" t="s">
        <v>119</v>
      </c>
      <c r="D7" s="58" t="s">
        <v>120</v>
      </c>
      <c r="E7" s="111" t="s">
        <v>121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1"/>
      <c r="B8" s="62"/>
      <c r="C8" s="57" t="s">
        <v>122</v>
      </c>
      <c r="D8" s="58" t="s">
        <v>123</v>
      </c>
      <c r="E8" s="59"/>
      <c r="F8" s="15"/>
      <c r="G8" s="21"/>
      <c r="H8" s="60" t="str">
        <f t="shared" si="1"/>
        <v>Pass</v>
      </c>
    </row>
    <row r="9">
      <c r="A9" s="63"/>
      <c r="B9" s="62"/>
      <c r="C9" s="57" t="s">
        <v>124</v>
      </c>
      <c r="D9" s="58" t="s">
        <v>123</v>
      </c>
      <c r="E9" s="59"/>
      <c r="F9" s="15"/>
      <c r="G9" s="21"/>
      <c r="H9" s="60" t="str">
        <f t="shared" si="1"/>
        <v>Pass</v>
      </c>
    </row>
    <row r="10">
      <c r="A10" s="63"/>
      <c r="B10" s="62"/>
      <c r="C10" s="57" t="s">
        <v>125</v>
      </c>
      <c r="D10" s="58" t="s">
        <v>126</v>
      </c>
      <c r="E10" s="111" t="s">
        <v>127</v>
      </c>
      <c r="F10" s="15"/>
      <c r="G10" s="21"/>
      <c r="H10" s="60" t="str">
        <f t="shared" si="1"/>
        <v>Pass</v>
      </c>
    </row>
    <row r="11">
      <c r="A11" s="63"/>
      <c r="B11" s="62"/>
      <c r="C11" s="57" t="s">
        <v>128</v>
      </c>
      <c r="D11" s="58" t="s">
        <v>123</v>
      </c>
      <c r="E11" s="59"/>
      <c r="F11" s="15"/>
      <c r="G11" s="21"/>
      <c r="H11" s="60" t="str">
        <f t="shared" si="1"/>
        <v>Pass</v>
      </c>
    </row>
    <row r="12">
      <c r="A12" s="63"/>
      <c r="B12" s="62"/>
      <c r="C12" s="57" t="s">
        <v>129</v>
      </c>
      <c r="D12" s="58" t="s">
        <v>126</v>
      </c>
      <c r="E12" s="111" t="s">
        <v>127</v>
      </c>
      <c r="F12" s="15"/>
      <c r="G12" s="21"/>
      <c r="H12" s="60" t="str">
        <f t="shared" si="1"/>
        <v>Pass</v>
      </c>
    </row>
    <row r="13">
      <c r="A13" s="63"/>
      <c r="B13" s="62"/>
      <c r="C13" s="57" t="s">
        <v>130</v>
      </c>
      <c r="D13" s="58" t="s">
        <v>123</v>
      </c>
      <c r="E13" s="59"/>
      <c r="F13" s="15"/>
      <c r="G13" s="21"/>
      <c r="H13" s="60" t="str">
        <f t="shared" si="1"/>
        <v>Pass</v>
      </c>
    </row>
    <row r="14">
      <c r="A14" s="63"/>
      <c r="B14" s="64" t="s">
        <v>131</v>
      </c>
      <c r="C14" s="65"/>
      <c r="D14" s="97" t="s">
        <v>132</v>
      </c>
      <c r="E14" s="111" t="s">
        <v>133</v>
      </c>
      <c r="F14" s="15"/>
      <c r="G14" s="21"/>
      <c r="H14" s="6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134</v>
      </c>
      <c r="C15" s="69"/>
      <c r="D15" s="97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135</v>
      </c>
      <c r="C16" s="21"/>
      <c r="D16" s="97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136</v>
      </c>
      <c r="B17" s="71" t="s">
        <v>70</v>
      </c>
      <c r="C17" s="72" t="s">
        <v>119</v>
      </c>
      <c r="D17" s="73" t="s">
        <v>120</v>
      </c>
      <c r="E17" s="112" t="s">
        <v>121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4"/>
      <c r="B18" s="75"/>
      <c r="C18" s="72" t="s">
        <v>122</v>
      </c>
      <c r="D18" s="73" t="s">
        <v>123</v>
      </c>
      <c r="E18" s="49"/>
      <c r="F18" s="15"/>
      <c r="G18" s="21"/>
      <c r="H18" s="60" t="str">
        <f t="shared" si="3"/>
        <v>Pass</v>
      </c>
    </row>
    <row r="19">
      <c r="A19" s="63"/>
      <c r="B19" s="75"/>
      <c r="C19" s="72" t="s">
        <v>124</v>
      </c>
      <c r="D19" s="73" t="s">
        <v>126</v>
      </c>
      <c r="E19" s="112" t="s">
        <v>137</v>
      </c>
      <c r="F19" s="15"/>
      <c r="G19" s="21"/>
      <c r="H19" s="60" t="str">
        <f t="shared" si="3"/>
        <v>Pass</v>
      </c>
    </row>
    <row r="20">
      <c r="A20" s="63"/>
      <c r="B20" s="75"/>
      <c r="C20" s="72" t="s">
        <v>125</v>
      </c>
      <c r="D20" s="73" t="s">
        <v>126</v>
      </c>
      <c r="E20" s="112" t="s">
        <v>127</v>
      </c>
      <c r="F20" s="15"/>
      <c r="G20" s="21"/>
      <c r="H20" s="60" t="str">
        <f t="shared" si="3"/>
        <v>Pass</v>
      </c>
    </row>
    <row r="21">
      <c r="A21" s="63"/>
      <c r="B21" s="75"/>
      <c r="C21" s="72" t="s">
        <v>128</v>
      </c>
      <c r="D21" s="73" t="s">
        <v>123</v>
      </c>
      <c r="E21" s="49"/>
      <c r="F21" s="15"/>
      <c r="G21" s="21"/>
      <c r="H21" s="60" t="str">
        <f t="shared" si="3"/>
        <v>Pass</v>
      </c>
    </row>
    <row r="22">
      <c r="A22" s="63"/>
      <c r="B22" s="75"/>
      <c r="C22" s="72" t="s">
        <v>129</v>
      </c>
      <c r="D22" s="73" t="s">
        <v>126</v>
      </c>
      <c r="E22" s="112" t="s">
        <v>127</v>
      </c>
      <c r="F22" s="15"/>
      <c r="G22" s="21"/>
      <c r="H22" s="60" t="str">
        <f t="shared" si="3"/>
        <v>Pass</v>
      </c>
    </row>
    <row r="23">
      <c r="A23" s="63"/>
      <c r="B23" s="75"/>
      <c r="C23" s="72" t="s">
        <v>130</v>
      </c>
      <c r="D23" s="73" t="s">
        <v>126</v>
      </c>
      <c r="E23" s="112" t="s">
        <v>137</v>
      </c>
      <c r="F23" s="15"/>
      <c r="G23" s="21"/>
      <c r="H23" s="60" t="str">
        <f t="shared" si="3"/>
        <v>Pass</v>
      </c>
    </row>
    <row r="24">
      <c r="A24" s="63"/>
      <c r="B24" s="76" t="s">
        <v>138</v>
      </c>
      <c r="C24" s="77"/>
      <c r="D24" s="113" t="s">
        <v>132</v>
      </c>
      <c r="E24" s="114" t="s">
        <v>133</v>
      </c>
      <c r="F24" s="49"/>
      <c r="G24" s="115"/>
      <c r="H24" s="6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139</v>
      </c>
      <c r="C25" s="69"/>
      <c r="D25" s="11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140</v>
      </c>
      <c r="C26" s="21"/>
      <c r="D26" s="11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141</v>
      </c>
      <c r="B27" s="56" t="s">
        <v>70</v>
      </c>
      <c r="C27" s="57" t="s">
        <v>119</v>
      </c>
      <c r="D27" s="58" t="s">
        <v>120</v>
      </c>
      <c r="E27" s="111" t="s">
        <v>121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1"/>
      <c r="B28" s="62"/>
      <c r="C28" s="57" t="s">
        <v>122</v>
      </c>
      <c r="D28" s="58" t="s">
        <v>123</v>
      </c>
      <c r="E28" s="59"/>
      <c r="F28" s="15"/>
      <c r="G28" s="21"/>
      <c r="H28" s="60" t="str">
        <f t="shared" si="5"/>
        <v>Pass</v>
      </c>
    </row>
    <row r="29">
      <c r="A29" s="63"/>
      <c r="B29" s="62"/>
      <c r="C29" s="57" t="s">
        <v>124</v>
      </c>
      <c r="D29" s="58" t="s">
        <v>123</v>
      </c>
      <c r="E29" s="59"/>
      <c r="F29" s="15"/>
      <c r="G29" s="21"/>
      <c r="H29" s="60" t="str">
        <f t="shared" si="5"/>
        <v>Pass</v>
      </c>
    </row>
    <row r="30">
      <c r="A30" s="63"/>
      <c r="B30" s="62"/>
      <c r="C30" s="57" t="s">
        <v>125</v>
      </c>
      <c r="D30" s="58" t="s">
        <v>126</v>
      </c>
      <c r="E30" s="111" t="s">
        <v>127</v>
      </c>
      <c r="F30" s="15"/>
      <c r="G30" s="21"/>
      <c r="H30" s="60" t="str">
        <f t="shared" si="5"/>
        <v>Pass</v>
      </c>
    </row>
    <row r="31">
      <c r="A31" s="63"/>
      <c r="B31" s="62"/>
      <c r="C31" s="57" t="s">
        <v>128</v>
      </c>
      <c r="D31" s="58" t="s">
        <v>123</v>
      </c>
      <c r="E31" s="59"/>
      <c r="F31" s="15"/>
      <c r="G31" s="21"/>
      <c r="H31" s="60" t="str">
        <f t="shared" si="5"/>
        <v>Pass</v>
      </c>
    </row>
    <row r="32">
      <c r="A32" s="63"/>
      <c r="B32" s="62"/>
      <c r="C32" s="57" t="s">
        <v>129</v>
      </c>
      <c r="D32" s="58" t="s">
        <v>126</v>
      </c>
      <c r="E32" s="111" t="s">
        <v>127</v>
      </c>
      <c r="F32" s="15"/>
      <c r="G32" s="21"/>
      <c r="H32" s="60" t="str">
        <f t="shared" si="5"/>
        <v>Pass</v>
      </c>
    </row>
    <row r="33">
      <c r="A33" s="63"/>
      <c r="B33" s="62"/>
      <c r="C33" s="57" t="s">
        <v>130</v>
      </c>
      <c r="D33" s="58" t="s">
        <v>126</v>
      </c>
      <c r="E33" s="111" t="s">
        <v>137</v>
      </c>
      <c r="F33" s="15"/>
      <c r="G33" s="21"/>
      <c r="H33" s="60" t="str">
        <f t="shared" si="5"/>
        <v>Pass</v>
      </c>
    </row>
    <row r="34">
      <c r="A34" s="63"/>
      <c r="B34" s="64" t="s">
        <v>142</v>
      </c>
      <c r="C34" s="65"/>
      <c r="D34" s="97" t="s">
        <v>132</v>
      </c>
      <c r="E34" s="111" t="s">
        <v>133</v>
      </c>
      <c r="F34" s="15"/>
      <c r="G34" s="21"/>
      <c r="H34" s="6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143</v>
      </c>
      <c r="C35" s="69"/>
      <c r="D35" s="97" t="s">
        <v>132</v>
      </c>
      <c r="E35" s="59"/>
      <c r="F35" s="15"/>
      <c r="G35" s="21"/>
      <c r="H35" s="6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144</v>
      </c>
      <c r="C36" s="21"/>
      <c r="D36" s="97" t="s">
        <v>132</v>
      </c>
      <c r="E36" s="59"/>
      <c r="F36" s="15"/>
      <c r="G36" s="21"/>
      <c r="H36" s="6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 t="s">
        <v>145</v>
      </c>
      <c r="B37" s="71" t="s">
        <v>70</v>
      </c>
      <c r="C37" s="72" t="s">
        <v>119</v>
      </c>
      <c r="D37" s="73" t="s">
        <v>120</v>
      </c>
      <c r="E37" s="112" t="s">
        <v>121</v>
      </c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74"/>
      <c r="B38" s="75"/>
      <c r="C38" s="72" t="s">
        <v>122</v>
      </c>
      <c r="D38" s="73" t="s">
        <v>123</v>
      </c>
      <c r="E38" s="49"/>
      <c r="F38" s="15"/>
      <c r="G38" s="21"/>
      <c r="H38" s="60" t="str">
        <f t="shared" si="7"/>
        <v>Pass</v>
      </c>
    </row>
    <row r="39">
      <c r="A39" s="63"/>
      <c r="B39" s="75"/>
      <c r="C39" s="72" t="s">
        <v>124</v>
      </c>
      <c r="D39" s="73" t="s">
        <v>123</v>
      </c>
      <c r="E39" s="49"/>
      <c r="F39" s="15"/>
      <c r="G39" s="21"/>
      <c r="H39" s="60" t="str">
        <f t="shared" si="7"/>
        <v>Pass</v>
      </c>
    </row>
    <row r="40">
      <c r="A40" s="63"/>
      <c r="B40" s="75"/>
      <c r="C40" s="72" t="s">
        <v>125</v>
      </c>
      <c r="D40" s="73" t="s">
        <v>126</v>
      </c>
      <c r="E40" s="112" t="s">
        <v>127</v>
      </c>
      <c r="F40" s="15"/>
      <c r="G40" s="21"/>
      <c r="H40" s="60" t="str">
        <f t="shared" si="7"/>
        <v>Pass</v>
      </c>
    </row>
    <row r="41">
      <c r="A41" s="63"/>
      <c r="B41" s="75"/>
      <c r="C41" s="72" t="s">
        <v>128</v>
      </c>
      <c r="D41" s="73" t="s">
        <v>123</v>
      </c>
      <c r="E41" s="49"/>
      <c r="F41" s="15"/>
      <c r="G41" s="21"/>
      <c r="H41" s="60" t="str">
        <f t="shared" si="7"/>
        <v>Pass</v>
      </c>
    </row>
    <row r="42">
      <c r="A42" s="63"/>
      <c r="B42" s="75"/>
      <c r="C42" s="72" t="s">
        <v>129</v>
      </c>
      <c r="D42" s="73" t="s">
        <v>126</v>
      </c>
      <c r="E42" s="112" t="s">
        <v>127</v>
      </c>
      <c r="F42" s="15"/>
      <c r="G42" s="21"/>
      <c r="H42" s="60" t="str">
        <f t="shared" si="7"/>
        <v>Pass</v>
      </c>
    </row>
    <row r="43">
      <c r="A43" s="63"/>
      <c r="B43" s="75"/>
      <c r="C43" s="72" t="s">
        <v>130</v>
      </c>
      <c r="D43" s="73" t="s">
        <v>126</v>
      </c>
      <c r="E43" s="112" t="s">
        <v>146</v>
      </c>
      <c r="F43" s="15"/>
      <c r="G43" s="21"/>
      <c r="H43" s="60" t="str">
        <f t="shared" si="7"/>
        <v>Pass</v>
      </c>
    </row>
    <row r="44">
      <c r="A44" s="63"/>
      <c r="B44" s="76" t="s">
        <v>147</v>
      </c>
      <c r="C44" s="77"/>
      <c r="D44" s="113" t="s">
        <v>132</v>
      </c>
      <c r="E44" s="114" t="s">
        <v>148</v>
      </c>
      <c r="F44" s="49"/>
      <c r="G44" s="115"/>
      <c r="H44" s="6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149</v>
      </c>
      <c r="C45" s="69"/>
      <c r="D45" s="113" t="s">
        <v>132</v>
      </c>
      <c r="E45" s="49"/>
      <c r="F45" s="15"/>
      <c r="G45" s="21"/>
      <c r="H45" s="6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150</v>
      </c>
      <c r="C46" s="21"/>
      <c r="D46" s="113" t="s">
        <v>132</v>
      </c>
      <c r="E46" s="49"/>
      <c r="F46" s="15"/>
      <c r="G46" s="21"/>
      <c r="H46" s="6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 t="s">
        <v>151</v>
      </c>
      <c r="B47" s="56" t="s">
        <v>70</v>
      </c>
      <c r="C47" s="57" t="s">
        <v>119</v>
      </c>
      <c r="D47" s="58" t="s">
        <v>120</v>
      </c>
      <c r="E47" s="111" t="s">
        <v>121</v>
      </c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61"/>
      <c r="B48" s="62"/>
      <c r="C48" s="57" t="s">
        <v>122</v>
      </c>
      <c r="D48" s="58" t="s">
        <v>123</v>
      </c>
      <c r="E48" s="59"/>
      <c r="F48" s="15"/>
      <c r="G48" s="21"/>
      <c r="H48" s="60" t="str">
        <f t="shared" si="9"/>
        <v>Pass</v>
      </c>
    </row>
    <row r="49">
      <c r="A49" s="63"/>
      <c r="B49" s="62"/>
      <c r="C49" s="57" t="s">
        <v>124</v>
      </c>
      <c r="D49" s="58" t="s">
        <v>123</v>
      </c>
      <c r="E49" s="59"/>
      <c r="F49" s="15"/>
      <c r="G49" s="21"/>
      <c r="H49" s="60" t="str">
        <f t="shared" si="9"/>
        <v>Pass</v>
      </c>
    </row>
    <row r="50">
      <c r="A50" s="63"/>
      <c r="B50" s="62"/>
      <c r="C50" s="57" t="s">
        <v>125</v>
      </c>
      <c r="D50" s="58" t="s">
        <v>126</v>
      </c>
      <c r="E50" s="111" t="s">
        <v>127</v>
      </c>
      <c r="F50" s="15"/>
      <c r="G50" s="21"/>
      <c r="H50" s="60" t="str">
        <f t="shared" si="9"/>
        <v>Pass</v>
      </c>
    </row>
    <row r="51">
      <c r="A51" s="63"/>
      <c r="B51" s="62"/>
      <c r="C51" s="57" t="s">
        <v>128</v>
      </c>
      <c r="D51" s="58" t="s">
        <v>123</v>
      </c>
      <c r="E51" s="59"/>
      <c r="F51" s="15"/>
      <c r="G51" s="21"/>
      <c r="H51" s="60" t="str">
        <f t="shared" si="9"/>
        <v>Pass</v>
      </c>
    </row>
    <row r="52">
      <c r="A52" s="63"/>
      <c r="B52" s="62"/>
      <c r="C52" s="57" t="s">
        <v>129</v>
      </c>
      <c r="D52" s="58" t="s">
        <v>126</v>
      </c>
      <c r="E52" s="111" t="s">
        <v>127</v>
      </c>
      <c r="F52" s="15"/>
      <c r="G52" s="21"/>
      <c r="H52" s="60" t="str">
        <f t="shared" si="9"/>
        <v>Pass</v>
      </c>
    </row>
    <row r="53">
      <c r="A53" s="63"/>
      <c r="B53" s="62"/>
      <c r="C53" s="57" t="s">
        <v>130</v>
      </c>
      <c r="D53" s="58" t="s">
        <v>126</v>
      </c>
      <c r="E53" s="111" t="s">
        <v>137</v>
      </c>
      <c r="F53" s="15"/>
      <c r="G53" s="21"/>
      <c r="H53" s="60" t="str">
        <f t="shared" si="9"/>
        <v>Pass</v>
      </c>
    </row>
    <row r="54">
      <c r="A54" s="63"/>
      <c r="B54" s="80" t="s">
        <v>152</v>
      </c>
      <c r="C54" s="81"/>
      <c r="D54" s="58" t="s">
        <v>132</v>
      </c>
      <c r="E54" s="111" t="s">
        <v>133</v>
      </c>
      <c r="F54" s="15"/>
      <c r="G54" s="21"/>
      <c r="H54" s="82" t="str">
        <f t="shared" ref="H54:H56" si="10">IF(D54="Pass", "Pass", IF(D54="Fail", "Fail", ""))</f>
        <v>Pass</v>
      </c>
    </row>
    <row r="55">
      <c r="A55" s="63"/>
      <c r="B55" s="80" t="s">
        <v>153</v>
      </c>
      <c r="C55" s="69"/>
      <c r="D55" s="58" t="s">
        <v>132</v>
      </c>
      <c r="E55" s="59"/>
      <c r="F55" s="15"/>
      <c r="G55" s="21"/>
      <c r="H55" s="82" t="str">
        <f t="shared" si="10"/>
        <v>Pass</v>
      </c>
    </row>
    <row r="56">
      <c r="A56" s="70"/>
      <c r="B56" s="80" t="s">
        <v>154</v>
      </c>
      <c r="C56" s="21"/>
      <c r="D56" s="58" t="s">
        <v>132</v>
      </c>
      <c r="E56" s="59"/>
      <c r="F56" s="15"/>
      <c r="G56" s="21"/>
      <c r="H56" s="82" t="str">
        <f t="shared" si="10"/>
        <v>Pass</v>
      </c>
    </row>
    <row r="57">
      <c r="A57" s="83" t="s">
        <v>83</v>
      </c>
      <c r="B57" s="15"/>
      <c r="C57" s="21"/>
      <c r="D57" s="84" t="s">
        <v>155</v>
      </c>
      <c r="E57" s="15"/>
      <c r="F57" s="15"/>
      <c r="G57" s="15"/>
      <c r="H57" s="85"/>
    </row>
    <row r="58">
      <c r="A58" s="86" t="s">
        <v>132</v>
      </c>
      <c r="B58" s="15"/>
      <c r="C58" s="21"/>
      <c r="D58" s="49"/>
      <c r="E58" s="15"/>
      <c r="F58" s="15"/>
      <c r="G58" s="15"/>
      <c r="H58" s="21"/>
    </row>
  </sheetData>
  <mergeCells count="68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5:G25"/>
    <mergeCell ref="E27:G27"/>
    <mergeCell ref="E43:G43"/>
    <mergeCell ref="C44:C46"/>
    <mergeCell ref="E45:G45"/>
    <mergeCell ref="E46:G46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A1:H1"/>
    <mergeCell ref="B2:D2"/>
    <mergeCell ref="B3:D3"/>
    <mergeCell ref="A4:D4"/>
    <mergeCell ref="A5:D5"/>
    <mergeCell ref="E6:G6"/>
    <mergeCell ref="A8:A16"/>
    <mergeCell ref="A18:A26"/>
    <mergeCell ref="A28:A36"/>
    <mergeCell ref="A38:A46"/>
    <mergeCell ref="A48:A56"/>
    <mergeCell ref="E13:G13"/>
    <mergeCell ref="C14:C16"/>
    <mergeCell ref="E14:G14"/>
    <mergeCell ref="E15:G15"/>
    <mergeCell ref="E16:G16"/>
    <mergeCell ref="E17:G17"/>
    <mergeCell ref="E26:G26"/>
    <mergeCell ref="E34:G34"/>
    <mergeCell ref="E35:G35"/>
    <mergeCell ref="E28:G28"/>
    <mergeCell ref="E29:G29"/>
    <mergeCell ref="E30:G30"/>
    <mergeCell ref="E31:G31"/>
    <mergeCell ref="E32:G32"/>
    <mergeCell ref="E33:G33"/>
    <mergeCell ref="C34:C36"/>
    <mergeCell ref="E36:G36"/>
    <mergeCell ref="E37:G37"/>
    <mergeCell ref="E38:G38"/>
    <mergeCell ref="E39:G39"/>
    <mergeCell ref="E40:G40"/>
    <mergeCell ref="E41:G41"/>
    <mergeCell ref="E42:G42"/>
    <mergeCell ref="C54:C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156</v>
      </c>
      <c r="B2" s="91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2403478.0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45577.0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157</v>
      </c>
      <c r="B6" s="93"/>
      <c r="C6" s="52" t="s">
        <v>158</v>
      </c>
      <c r="D6" s="53"/>
      <c r="E6" s="84" t="s">
        <v>159</v>
      </c>
      <c r="F6" s="15"/>
      <c r="G6" s="15"/>
      <c r="H6" s="85"/>
    </row>
    <row r="7">
      <c r="A7" s="56" t="s">
        <v>160</v>
      </c>
      <c r="B7" s="56" t="s">
        <v>65</v>
      </c>
      <c r="C7" s="57" t="s">
        <v>119</v>
      </c>
      <c r="D7" s="58" t="s">
        <v>161</v>
      </c>
      <c r="E7" s="111" t="s">
        <v>121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123</v>
      </c>
      <c r="E8" s="59"/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126</v>
      </c>
      <c r="E9" s="111" t="s">
        <v>137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126</v>
      </c>
      <c r="E10" s="111" t="s">
        <v>127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126</v>
      </c>
      <c r="E11" s="111" t="s">
        <v>162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126</v>
      </c>
      <c r="E12" s="111" t="s">
        <v>127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120</v>
      </c>
      <c r="E13" s="111" t="s">
        <v>163</v>
      </c>
      <c r="F13" s="15"/>
      <c r="G13" s="21"/>
      <c r="H13" s="60" t="str">
        <f t="shared" si="1"/>
        <v>Pass</v>
      </c>
    </row>
    <row r="14">
      <c r="A14" s="63"/>
      <c r="B14" s="64" t="s">
        <v>164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165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166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167</v>
      </c>
      <c r="B17" s="71" t="s">
        <v>65</v>
      </c>
      <c r="C17" s="72" t="s">
        <v>119</v>
      </c>
      <c r="D17" s="73" t="s">
        <v>161</v>
      </c>
      <c r="E17" s="112" t="s">
        <v>121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123</v>
      </c>
      <c r="E18" s="49"/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126</v>
      </c>
      <c r="E19" s="112" t="s">
        <v>137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126</v>
      </c>
      <c r="E20" s="112" t="s">
        <v>127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126</v>
      </c>
      <c r="E21" s="112" t="s">
        <v>162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126</v>
      </c>
      <c r="E22" s="112" t="s">
        <v>127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120</v>
      </c>
      <c r="E23" s="112" t="s">
        <v>163</v>
      </c>
      <c r="F23" s="15"/>
      <c r="G23" s="21"/>
      <c r="H23" s="60" t="str">
        <f t="shared" si="3"/>
        <v>Pass</v>
      </c>
    </row>
    <row r="24">
      <c r="A24" s="63"/>
      <c r="B24" s="76" t="s">
        <v>168</v>
      </c>
      <c r="C24" s="77"/>
      <c r="D24" s="73" t="s">
        <v>132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169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170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171</v>
      </c>
      <c r="B27" s="56" t="s">
        <v>65</v>
      </c>
      <c r="C27" s="57" t="s">
        <v>119</v>
      </c>
      <c r="D27" s="58" t="s">
        <v>161</v>
      </c>
      <c r="E27" s="111" t="s">
        <v>121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123</v>
      </c>
      <c r="E28" s="59"/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137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126</v>
      </c>
      <c r="E30" s="111" t="s">
        <v>127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126</v>
      </c>
      <c r="E31" s="111" t="s">
        <v>162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126</v>
      </c>
      <c r="E32" s="111" t="s">
        <v>127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120</v>
      </c>
      <c r="E33" s="111" t="s">
        <v>163</v>
      </c>
      <c r="F33" s="15"/>
      <c r="G33" s="21"/>
      <c r="H33" s="60" t="str">
        <f t="shared" si="5"/>
        <v>Pass</v>
      </c>
    </row>
    <row r="34">
      <c r="A34" s="63"/>
      <c r="B34" s="64" t="s">
        <v>172</v>
      </c>
      <c r="C34" s="81"/>
      <c r="D34" s="58" t="s">
        <v>132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173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174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175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112" t="s">
        <v>176</v>
      </c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7:D13 D17:D23 D27:D33">
      <formula1>"Select,0 - Off-shade,0-1 - Off-shade/Much,1 - Much,1-2 - Much/Considerable,2 - Considerable,2-3 Considerable/Noticeable,3 - Noticeable,3-4 - Noticeable/Slight,4 - Slight,4-5 - Slight/Equal,5 - Equal"</formula1>
    </dataValidation>
    <dataValidation type="list" allowBlank="1" showErrorMessage="1" sqref="D14:D16 D24:D26 D34:D36">
      <formula1>"Select,Pass,Fail"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177</v>
      </c>
      <c r="B2" s="105" t="s">
        <v>113</v>
      </c>
      <c r="C2" s="15"/>
      <c r="D2" s="21"/>
      <c r="E2" s="42" t="s">
        <v>53</v>
      </c>
      <c r="F2" s="100" t="s">
        <v>26</v>
      </c>
      <c r="G2" s="42" t="s">
        <v>54</v>
      </c>
      <c r="H2" s="106" t="s">
        <v>2</v>
      </c>
    </row>
    <row r="3">
      <c r="A3" s="45" t="s">
        <v>55</v>
      </c>
      <c r="B3" s="46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6" t="s">
        <v>27</v>
      </c>
    </row>
    <row r="4">
      <c r="A4" s="49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45600.0</v>
      </c>
    </row>
    <row r="5">
      <c r="A5" s="49"/>
      <c r="B5" s="15"/>
      <c r="C5" s="15"/>
      <c r="D5" s="21"/>
      <c r="E5" s="42" t="s">
        <v>60</v>
      </c>
      <c r="F5" s="110" t="s">
        <v>2</v>
      </c>
      <c r="G5" s="51" t="s">
        <v>61</v>
      </c>
      <c r="H5" s="108">
        <v>5.0</v>
      </c>
    </row>
    <row r="6">
      <c r="A6" s="52" t="s">
        <v>178</v>
      </c>
      <c r="B6" s="52"/>
      <c r="C6" s="52" t="s">
        <v>179</v>
      </c>
      <c r="D6" s="53"/>
      <c r="E6" s="54" t="s">
        <v>180</v>
      </c>
      <c r="F6" s="39"/>
      <c r="G6" s="13"/>
      <c r="H6" s="55"/>
    </row>
    <row r="7">
      <c r="A7" s="56" t="s">
        <v>181</v>
      </c>
      <c r="B7" s="56" t="s">
        <v>65</v>
      </c>
      <c r="C7" s="57" t="s">
        <v>119</v>
      </c>
      <c r="D7" s="58" t="s">
        <v>120</v>
      </c>
      <c r="E7" s="111" t="s">
        <v>182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1"/>
      <c r="B8" s="62"/>
      <c r="C8" s="57" t="s">
        <v>122</v>
      </c>
      <c r="D8" s="58" t="s">
        <v>120</v>
      </c>
      <c r="E8" s="111" t="s">
        <v>183</v>
      </c>
      <c r="F8" s="15"/>
      <c r="G8" s="21"/>
      <c r="H8" s="60" t="str">
        <f t="shared" si="1"/>
        <v>Pass</v>
      </c>
    </row>
    <row r="9">
      <c r="A9" s="63"/>
      <c r="B9" s="62"/>
      <c r="C9" s="57" t="s">
        <v>124</v>
      </c>
      <c r="D9" s="58" t="s">
        <v>120</v>
      </c>
      <c r="E9" s="111" t="s">
        <v>184</v>
      </c>
      <c r="F9" s="15"/>
      <c r="G9" s="21"/>
      <c r="H9" s="60" t="str">
        <f t="shared" si="1"/>
        <v>Pass</v>
      </c>
    </row>
    <row r="10">
      <c r="A10" s="63"/>
      <c r="B10" s="62"/>
      <c r="C10" s="57" t="s">
        <v>125</v>
      </c>
      <c r="D10" s="58" t="s">
        <v>161</v>
      </c>
      <c r="E10" s="111" t="s">
        <v>185</v>
      </c>
      <c r="F10" s="15"/>
      <c r="G10" s="21"/>
      <c r="H10" s="60" t="str">
        <f t="shared" si="1"/>
        <v>Pass</v>
      </c>
    </row>
    <row r="11">
      <c r="A11" s="63"/>
      <c r="B11" s="62"/>
      <c r="C11" s="57" t="s">
        <v>128</v>
      </c>
      <c r="D11" s="58" t="s">
        <v>120</v>
      </c>
      <c r="E11" s="111" t="s">
        <v>186</v>
      </c>
      <c r="F11" s="15"/>
      <c r="G11" s="21"/>
      <c r="H11" s="60" t="str">
        <f t="shared" si="1"/>
        <v>Pass</v>
      </c>
    </row>
    <row r="12">
      <c r="A12" s="63"/>
      <c r="B12" s="62"/>
      <c r="C12" s="57" t="s">
        <v>129</v>
      </c>
      <c r="D12" s="58" t="s">
        <v>126</v>
      </c>
      <c r="E12" s="111" t="s">
        <v>127</v>
      </c>
      <c r="F12" s="15"/>
      <c r="G12" s="21"/>
      <c r="H12" s="60" t="str">
        <f t="shared" si="1"/>
        <v>Pass</v>
      </c>
    </row>
    <row r="13">
      <c r="A13" s="63"/>
      <c r="B13" s="62"/>
      <c r="C13" s="57" t="s">
        <v>130</v>
      </c>
      <c r="D13" s="58" t="s">
        <v>120</v>
      </c>
      <c r="E13" s="111" t="s">
        <v>187</v>
      </c>
      <c r="F13" s="15"/>
      <c r="G13" s="21"/>
      <c r="H13" s="60" t="str">
        <f t="shared" si="1"/>
        <v>Pass</v>
      </c>
    </row>
    <row r="14">
      <c r="A14" s="63"/>
      <c r="B14" s="64" t="s">
        <v>188</v>
      </c>
      <c r="C14" s="65"/>
      <c r="D14" s="97" t="s">
        <v>132</v>
      </c>
      <c r="E14" s="59"/>
      <c r="F14" s="15"/>
      <c r="G14" s="21"/>
      <c r="H14" s="6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189</v>
      </c>
      <c r="C15" s="69"/>
      <c r="D15" s="97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190</v>
      </c>
      <c r="C16" s="21"/>
      <c r="D16" s="97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191</v>
      </c>
      <c r="B17" s="71" t="s">
        <v>70</v>
      </c>
      <c r="C17" s="72" t="s">
        <v>119</v>
      </c>
      <c r="D17" s="73" t="s">
        <v>161</v>
      </c>
      <c r="E17" s="112" t="s">
        <v>121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4"/>
      <c r="B18" s="75"/>
      <c r="C18" s="72" t="s">
        <v>122</v>
      </c>
      <c r="D18" s="73" t="s">
        <v>120</v>
      </c>
      <c r="E18" s="112" t="s">
        <v>183</v>
      </c>
      <c r="F18" s="15"/>
      <c r="G18" s="21"/>
      <c r="H18" s="60" t="str">
        <f t="shared" si="3"/>
        <v>Pass</v>
      </c>
    </row>
    <row r="19">
      <c r="A19" s="63"/>
      <c r="B19" s="75"/>
      <c r="C19" s="72" t="s">
        <v>124</v>
      </c>
      <c r="D19" s="73" t="s">
        <v>120</v>
      </c>
      <c r="E19" s="112" t="s">
        <v>184</v>
      </c>
      <c r="F19" s="15"/>
      <c r="G19" s="21"/>
      <c r="H19" s="60" t="str">
        <f t="shared" si="3"/>
        <v>Pass</v>
      </c>
    </row>
    <row r="20">
      <c r="A20" s="63"/>
      <c r="B20" s="75"/>
      <c r="C20" s="72" t="s">
        <v>125</v>
      </c>
      <c r="D20" s="73" t="s">
        <v>161</v>
      </c>
      <c r="E20" s="112" t="s">
        <v>185</v>
      </c>
      <c r="F20" s="15"/>
      <c r="G20" s="21"/>
      <c r="H20" s="60" t="str">
        <f t="shared" si="3"/>
        <v>Pass</v>
      </c>
    </row>
    <row r="21">
      <c r="A21" s="63"/>
      <c r="B21" s="75"/>
      <c r="C21" s="72" t="s">
        <v>128</v>
      </c>
      <c r="D21" s="73" t="s">
        <v>120</v>
      </c>
      <c r="E21" s="112" t="s">
        <v>192</v>
      </c>
      <c r="F21" s="15"/>
      <c r="G21" s="21"/>
      <c r="H21" s="60" t="str">
        <f t="shared" si="3"/>
        <v>Pass</v>
      </c>
    </row>
    <row r="22">
      <c r="A22" s="63"/>
      <c r="B22" s="75"/>
      <c r="C22" s="72" t="s">
        <v>129</v>
      </c>
      <c r="D22" s="73" t="s">
        <v>126</v>
      </c>
      <c r="E22" s="112" t="s">
        <v>127</v>
      </c>
      <c r="F22" s="15"/>
      <c r="G22" s="21"/>
      <c r="H22" s="60" t="str">
        <f t="shared" si="3"/>
        <v>Pass</v>
      </c>
    </row>
    <row r="23">
      <c r="A23" s="63"/>
      <c r="B23" s="75"/>
      <c r="C23" s="72" t="s">
        <v>130</v>
      </c>
      <c r="D23" s="73" t="s">
        <v>120</v>
      </c>
      <c r="E23" s="112" t="s">
        <v>187</v>
      </c>
      <c r="F23" s="15"/>
      <c r="G23" s="21"/>
      <c r="H23" s="60" t="str">
        <f t="shared" si="3"/>
        <v>Pass</v>
      </c>
    </row>
    <row r="24">
      <c r="A24" s="63"/>
      <c r="B24" s="76" t="s">
        <v>193</v>
      </c>
      <c r="C24" s="77"/>
      <c r="D24" s="113" t="s">
        <v>132</v>
      </c>
      <c r="E24" s="49"/>
      <c r="F24" s="15"/>
      <c r="G24" s="21"/>
      <c r="H24" s="6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194</v>
      </c>
      <c r="C25" s="69"/>
      <c r="D25" s="11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195</v>
      </c>
      <c r="C26" s="21"/>
      <c r="D26" s="11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196</v>
      </c>
      <c r="B27" s="56" t="s">
        <v>70</v>
      </c>
      <c r="C27" s="57" t="s">
        <v>119</v>
      </c>
      <c r="D27" s="58" t="s">
        <v>161</v>
      </c>
      <c r="E27" s="111" t="s">
        <v>121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1"/>
      <c r="B28" s="62"/>
      <c r="C28" s="57" t="s">
        <v>122</v>
      </c>
      <c r="D28" s="58" t="s">
        <v>120</v>
      </c>
      <c r="E28" s="111" t="s">
        <v>183</v>
      </c>
      <c r="F28" s="15"/>
      <c r="G28" s="21"/>
      <c r="H28" s="60" t="str">
        <f t="shared" si="5"/>
        <v>Pass</v>
      </c>
    </row>
    <row r="29">
      <c r="A29" s="63"/>
      <c r="B29" s="62"/>
      <c r="C29" s="57" t="s">
        <v>124</v>
      </c>
      <c r="D29" s="58" t="s">
        <v>120</v>
      </c>
      <c r="E29" s="111" t="s">
        <v>184</v>
      </c>
      <c r="F29" s="15"/>
      <c r="G29" s="21"/>
      <c r="H29" s="60" t="str">
        <f t="shared" si="5"/>
        <v>Pass</v>
      </c>
    </row>
    <row r="30">
      <c r="A30" s="63"/>
      <c r="B30" s="62"/>
      <c r="C30" s="57" t="s">
        <v>125</v>
      </c>
      <c r="D30" s="58" t="s">
        <v>161</v>
      </c>
      <c r="E30" s="111" t="s">
        <v>185</v>
      </c>
      <c r="F30" s="15"/>
      <c r="G30" s="21"/>
      <c r="H30" s="60" t="str">
        <f t="shared" si="5"/>
        <v>Pass</v>
      </c>
    </row>
    <row r="31">
      <c r="A31" s="63"/>
      <c r="B31" s="62"/>
      <c r="C31" s="57" t="s">
        <v>128</v>
      </c>
      <c r="D31" s="58" t="s">
        <v>120</v>
      </c>
      <c r="E31" s="111" t="s">
        <v>192</v>
      </c>
      <c r="F31" s="15"/>
      <c r="G31" s="21"/>
      <c r="H31" s="60" t="str">
        <f t="shared" si="5"/>
        <v>Pass</v>
      </c>
    </row>
    <row r="32">
      <c r="A32" s="63"/>
      <c r="B32" s="62"/>
      <c r="C32" s="57" t="s">
        <v>129</v>
      </c>
      <c r="D32" s="58" t="s">
        <v>126</v>
      </c>
      <c r="E32" s="111" t="s">
        <v>127</v>
      </c>
      <c r="F32" s="15"/>
      <c r="G32" s="21"/>
      <c r="H32" s="60" t="str">
        <f t="shared" si="5"/>
        <v>Pass</v>
      </c>
    </row>
    <row r="33">
      <c r="A33" s="63"/>
      <c r="B33" s="62"/>
      <c r="C33" s="57" t="s">
        <v>130</v>
      </c>
      <c r="D33" s="58" t="s">
        <v>120</v>
      </c>
      <c r="E33" s="111" t="s">
        <v>187</v>
      </c>
      <c r="F33" s="15"/>
      <c r="G33" s="21"/>
      <c r="H33" s="60" t="str">
        <f t="shared" si="5"/>
        <v>Pass</v>
      </c>
    </row>
    <row r="34">
      <c r="A34" s="63"/>
      <c r="B34" s="64" t="s">
        <v>197</v>
      </c>
      <c r="C34" s="65"/>
      <c r="D34" s="97" t="s">
        <v>132</v>
      </c>
      <c r="E34" s="59"/>
      <c r="F34" s="15"/>
      <c r="G34" s="21"/>
      <c r="H34" s="6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198</v>
      </c>
      <c r="C35" s="69"/>
      <c r="D35" s="97" t="s">
        <v>132</v>
      </c>
      <c r="E35" s="59"/>
      <c r="F35" s="15"/>
      <c r="G35" s="21"/>
      <c r="H35" s="6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199</v>
      </c>
      <c r="C36" s="21"/>
      <c r="D36" s="97" t="s">
        <v>132</v>
      </c>
      <c r="E36" s="59"/>
      <c r="F36" s="15"/>
      <c r="G36" s="21"/>
      <c r="H36" s="6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 t="s">
        <v>200</v>
      </c>
      <c r="B37" s="71" t="s">
        <v>70</v>
      </c>
      <c r="C37" s="72" t="s">
        <v>119</v>
      </c>
      <c r="D37" s="73" t="s">
        <v>120</v>
      </c>
      <c r="E37" s="112" t="s">
        <v>121</v>
      </c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74"/>
      <c r="B38" s="75"/>
      <c r="C38" s="72" t="s">
        <v>122</v>
      </c>
      <c r="D38" s="73" t="s">
        <v>120</v>
      </c>
      <c r="E38" s="112" t="s">
        <v>183</v>
      </c>
      <c r="F38" s="15"/>
      <c r="G38" s="21"/>
      <c r="H38" s="60" t="str">
        <f t="shared" si="7"/>
        <v>Pass</v>
      </c>
    </row>
    <row r="39">
      <c r="A39" s="63"/>
      <c r="B39" s="75"/>
      <c r="C39" s="72" t="s">
        <v>124</v>
      </c>
      <c r="D39" s="73" t="s">
        <v>120</v>
      </c>
      <c r="E39" s="112" t="s">
        <v>184</v>
      </c>
      <c r="F39" s="15"/>
      <c r="G39" s="21"/>
      <c r="H39" s="60" t="str">
        <f t="shared" si="7"/>
        <v>Pass</v>
      </c>
    </row>
    <row r="40">
      <c r="A40" s="63"/>
      <c r="B40" s="75"/>
      <c r="C40" s="72" t="s">
        <v>125</v>
      </c>
      <c r="D40" s="73" t="s">
        <v>161</v>
      </c>
      <c r="E40" s="112" t="s">
        <v>185</v>
      </c>
      <c r="F40" s="15"/>
      <c r="G40" s="21"/>
      <c r="H40" s="60" t="str">
        <f t="shared" si="7"/>
        <v>Pass</v>
      </c>
    </row>
    <row r="41">
      <c r="A41" s="63"/>
      <c r="B41" s="75"/>
      <c r="C41" s="72" t="s">
        <v>128</v>
      </c>
      <c r="D41" s="73" t="s">
        <v>120</v>
      </c>
      <c r="E41" s="112" t="s">
        <v>192</v>
      </c>
      <c r="F41" s="15"/>
      <c r="G41" s="21"/>
      <c r="H41" s="60" t="str">
        <f t="shared" si="7"/>
        <v>Pass</v>
      </c>
    </row>
    <row r="42">
      <c r="A42" s="63"/>
      <c r="B42" s="75"/>
      <c r="C42" s="72" t="s">
        <v>129</v>
      </c>
      <c r="D42" s="73" t="s">
        <v>126</v>
      </c>
      <c r="E42" s="112" t="s">
        <v>127</v>
      </c>
      <c r="F42" s="15"/>
      <c r="G42" s="21"/>
      <c r="H42" s="60" t="str">
        <f t="shared" si="7"/>
        <v>Pass</v>
      </c>
    </row>
    <row r="43">
      <c r="A43" s="63"/>
      <c r="B43" s="75"/>
      <c r="C43" s="72" t="s">
        <v>130</v>
      </c>
      <c r="D43" s="73" t="s">
        <v>120</v>
      </c>
      <c r="E43" s="112" t="s">
        <v>187</v>
      </c>
      <c r="F43" s="15"/>
      <c r="G43" s="21"/>
      <c r="H43" s="60" t="str">
        <f t="shared" si="7"/>
        <v>Pass</v>
      </c>
    </row>
    <row r="44">
      <c r="A44" s="63"/>
      <c r="B44" s="76" t="s">
        <v>201</v>
      </c>
      <c r="C44" s="77"/>
      <c r="D44" s="113" t="s">
        <v>132</v>
      </c>
      <c r="E44" s="49"/>
      <c r="F44" s="15"/>
      <c r="G44" s="21"/>
      <c r="H44" s="6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202</v>
      </c>
      <c r="C45" s="69"/>
      <c r="D45" s="113" t="s">
        <v>132</v>
      </c>
      <c r="E45" s="49"/>
      <c r="F45" s="15"/>
      <c r="G45" s="21"/>
      <c r="H45" s="6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203</v>
      </c>
      <c r="C46" s="21"/>
      <c r="D46" s="113" t="s">
        <v>132</v>
      </c>
      <c r="E46" s="49"/>
      <c r="F46" s="15"/>
      <c r="G46" s="21"/>
      <c r="H46" s="6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 t="s">
        <v>204</v>
      </c>
      <c r="B47" s="56" t="s">
        <v>70</v>
      </c>
      <c r="C47" s="57" t="s">
        <v>119</v>
      </c>
      <c r="D47" s="58" t="s">
        <v>120</v>
      </c>
      <c r="E47" s="111" t="s">
        <v>121</v>
      </c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61"/>
      <c r="B48" s="62"/>
      <c r="C48" s="57" t="s">
        <v>122</v>
      </c>
      <c r="D48" s="58" t="s">
        <v>120</v>
      </c>
      <c r="E48" s="111" t="s">
        <v>183</v>
      </c>
      <c r="F48" s="15"/>
      <c r="G48" s="21"/>
      <c r="H48" s="60" t="str">
        <f t="shared" si="9"/>
        <v>Pass</v>
      </c>
    </row>
    <row r="49">
      <c r="A49" s="63"/>
      <c r="B49" s="62"/>
      <c r="C49" s="57" t="s">
        <v>124</v>
      </c>
      <c r="D49" s="58" t="s">
        <v>120</v>
      </c>
      <c r="E49" s="111" t="s">
        <v>184</v>
      </c>
      <c r="F49" s="15"/>
      <c r="G49" s="21"/>
      <c r="H49" s="60" t="str">
        <f t="shared" si="9"/>
        <v>Pass</v>
      </c>
    </row>
    <row r="50">
      <c r="A50" s="63"/>
      <c r="B50" s="62"/>
      <c r="C50" s="57" t="s">
        <v>125</v>
      </c>
      <c r="D50" s="58" t="s">
        <v>161</v>
      </c>
      <c r="E50" s="111" t="s">
        <v>185</v>
      </c>
      <c r="F50" s="15"/>
      <c r="G50" s="21"/>
      <c r="H50" s="60" t="str">
        <f t="shared" si="9"/>
        <v>Pass</v>
      </c>
    </row>
    <row r="51">
      <c r="A51" s="63"/>
      <c r="B51" s="62"/>
      <c r="C51" s="57" t="s">
        <v>128</v>
      </c>
      <c r="D51" s="58" t="s">
        <v>120</v>
      </c>
      <c r="E51" s="111" t="s">
        <v>205</v>
      </c>
      <c r="F51" s="15"/>
      <c r="G51" s="21"/>
      <c r="H51" s="60" t="str">
        <f t="shared" si="9"/>
        <v>Pass</v>
      </c>
    </row>
    <row r="52">
      <c r="A52" s="63"/>
      <c r="B52" s="62"/>
      <c r="C52" s="57" t="s">
        <v>129</v>
      </c>
      <c r="D52" s="58" t="s">
        <v>126</v>
      </c>
      <c r="E52" s="111" t="s">
        <v>127</v>
      </c>
      <c r="F52" s="15"/>
      <c r="G52" s="21"/>
      <c r="H52" s="60" t="str">
        <f t="shared" si="9"/>
        <v>Pass</v>
      </c>
    </row>
    <row r="53">
      <c r="A53" s="63"/>
      <c r="B53" s="62"/>
      <c r="C53" s="57" t="s">
        <v>130</v>
      </c>
      <c r="D53" s="58" t="s">
        <v>120</v>
      </c>
      <c r="E53" s="59"/>
      <c r="F53" s="15"/>
      <c r="G53" s="21"/>
      <c r="H53" s="60" t="str">
        <f t="shared" si="9"/>
        <v>Pass</v>
      </c>
    </row>
    <row r="54">
      <c r="A54" s="63"/>
      <c r="B54" s="80" t="s">
        <v>206</v>
      </c>
      <c r="C54" s="81"/>
      <c r="D54" s="58" t="s">
        <v>132</v>
      </c>
      <c r="E54" s="59"/>
      <c r="F54" s="15"/>
      <c r="G54" s="21"/>
      <c r="H54" s="82" t="str">
        <f t="shared" ref="H54:H56" si="10">IF(D54="Pass", "Pass", IF(D54="Fail", "Fail", ""))</f>
        <v>Pass</v>
      </c>
    </row>
    <row r="55">
      <c r="A55" s="63"/>
      <c r="B55" s="80" t="s">
        <v>207</v>
      </c>
      <c r="C55" s="69"/>
      <c r="D55" s="58" t="s">
        <v>132</v>
      </c>
      <c r="E55" s="59"/>
      <c r="F55" s="15"/>
      <c r="G55" s="21"/>
      <c r="H55" s="82" t="str">
        <f t="shared" si="10"/>
        <v>Pass</v>
      </c>
    </row>
    <row r="56">
      <c r="A56" s="70"/>
      <c r="B56" s="80" t="s">
        <v>208</v>
      </c>
      <c r="C56" s="21"/>
      <c r="D56" s="58" t="s">
        <v>132</v>
      </c>
      <c r="E56" s="59"/>
      <c r="F56" s="15"/>
      <c r="G56" s="21"/>
      <c r="H56" s="82" t="str">
        <f t="shared" si="10"/>
        <v>Pass</v>
      </c>
    </row>
    <row r="57">
      <c r="A57" s="83" t="s">
        <v>83</v>
      </c>
      <c r="B57" s="15"/>
      <c r="C57" s="21"/>
      <c r="D57" s="84" t="s">
        <v>209</v>
      </c>
      <c r="E57" s="15"/>
      <c r="F57" s="15"/>
      <c r="G57" s="15"/>
      <c r="H57" s="85"/>
    </row>
    <row r="58">
      <c r="A58" s="86" t="s">
        <v>132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6.25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210</v>
      </c>
      <c r="B2" s="91" t="s">
        <v>113</v>
      </c>
      <c r="C2" s="15"/>
      <c r="D2" s="21"/>
      <c r="E2" s="42" t="s">
        <v>53</v>
      </c>
      <c r="F2" s="100" t="s">
        <v>29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2501393.0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45672.0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2.0</v>
      </c>
    </row>
    <row r="6">
      <c r="A6" s="93" t="s">
        <v>211</v>
      </c>
      <c r="B6" s="93"/>
      <c r="C6" s="52" t="s">
        <v>212</v>
      </c>
      <c r="D6" s="53"/>
      <c r="E6" s="54" t="s">
        <v>213</v>
      </c>
      <c r="F6" s="39"/>
      <c r="G6" s="13"/>
      <c r="H6" s="55"/>
    </row>
    <row r="7">
      <c r="A7" s="56" t="s">
        <v>214</v>
      </c>
      <c r="B7" s="94" t="s">
        <v>90</v>
      </c>
      <c r="C7" s="57" t="s">
        <v>119</v>
      </c>
      <c r="D7" s="58" t="s">
        <v>161</v>
      </c>
      <c r="E7" s="111" t="s">
        <v>215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123</v>
      </c>
      <c r="E8" s="111" t="s">
        <v>216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120</v>
      </c>
      <c r="E9" s="111" t="s">
        <v>163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120</v>
      </c>
      <c r="E10" s="111" t="s">
        <v>217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126</v>
      </c>
      <c r="E11" s="111" t="s">
        <v>162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161</v>
      </c>
      <c r="E12" s="111" t="s">
        <v>215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120</v>
      </c>
      <c r="E13" s="111" t="s">
        <v>218</v>
      </c>
      <c r="F13" s="15"/>
      <c r="G13" s="21"/>
      <c r="H13" s="60" t="str">
        <f t="shared" si="1"/>
        <v>Pass</v>
      </c>
    </row>
    <row r="14">
      <c r="A14" s="63"/>
      <c r="B14" s="64" t="s">
        <v>219</v>
      </c>
      <c r="C14" s="65"/>
      <c r="D14" s="97" t="s">
        <v>132</v>
      </c>
      <c r="E14" s="59"/>
      <c r="F14" s="15"/>
      <c r="G14" s="21"/>
      <c r="H14" s="98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220</v>
      </c>
      <c r="C15" s="69"/>
      <c r="D15" s="97" t="s">
        <v>132</v>
      </c>
      <c r="E15" s="59"/>
      <c r="F15" s="15"/>
      <c r="G15" s="21"/>
      <c r="H15" s="98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221</v>
      </c>
      <c r="C16" s="21"/>
      <c r="D16" s="97" t="s">
        <v>132</v>
      </c>
      <c r="E16" s="59"/>
      <c r="F16" s="15"/>
      <c r="G16" s="21"/>
      <c r="H16" s="98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222</v>
      </c>
      <c r="B17" s="71" t="s">
        <v>65</v>
      </c>
      <c r="C17" s="72" t="s">
        <v>119</v>
      </c>
      <c r="D17" s="73" t="s">
        <v>161</v>
      </c>
      <c r="E17" s="112" t="s">
        <v>215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123</v>
      </c>
      <c r="E18" s="112" t="s">
        <v>216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120</v>
      </c>
      <c r="E19" s="112" t="s">
        <v>163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126</v>
      </c>
      <c r="E20" s="112" t="s">
        <v>217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126</v>
      </c>
      <c r="E21" s="112" t="s">
        <v>223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161</v>
      </c>
      <c r="E22" s="112" t="s">
        <v>215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120</v>
      </c>
      <c r="E23" s="112" t="s">
        <v>218</v>
      </c>
      <c r="F23" s="15"/>
      <c r="G23" s="21"/>
      <c r="H23" s="60" t="str">
        <f t="shared" si="3"/>
        <v>Pass</v>
      </c>
    </row>
    <row r="24">
      <c r="A24" s="63"/>
      <c r="B24" s="76" t="s">
        <v>224</v>
      </c>
      <c r="C24" s="101"/>
      <c r="D24" s="73" t="s">
        <v>132</v>
      </c>
      <c r="E24" s="49"/>
      <c r="F24" s="15"/>
      <c r="G24" s="21"/>
      <c r="H24" s="82" t="str">
        <f t="shared" ref="H24:H26" si="4">IF(D24="Pass", "Pass", IF(D24="Fail", "Fail", ""))</f>
        <v>Pass</v>
      </c>
    </row>
    <row r="25">
      <c r="A25" s="63"/>
      <c r="B25" s="79" t="s">
        <v>225</v>
      </c>
      <c r="C25" s="69"/>
      <c r="D25" s="73" t="s">
        <v>132</v>
      </c>
      <c r="E25" s="49"/>
      <c r="F25" s="15"/>
      <c r="G25" s="21"/>
      <c r="H25" s="82" t="str">
        <f t="shared" si="4"/>
        <v>Pass</v>
      </c>
    </row>
    <row r="26">
      <c r="A26" s="70"/>
      <c r="B26" s="79" t="s">
        <v>226</v>
      </c>
      <c r="C26" s="21"/>
      <c r="D26" s="73" t="s">
        <v>132</v>
      </c>
      <c r="E26" s="49"/>
      <c r="F26" s="15"/>
      <c r="G26" s="21"/>
      <c r="H26" s="82" t="str">
        <f t="shared" si="4"/>
        <v>Pass</v>
      </c>
    </row>
    <row r="27">
      <c r="A27" s="102" t="s">
        <v>83</v>
      </c>
      <c r="B27" s="15"/>
      <c r="C27" s="21"/>
      <c r="D27" s="54" t="s">
        <v>227</v>
      </c>
      <c r="E27" s="39"/>
      <c r="F27" s="39"/>
      <c r="G27" s="13"/>
      <c r="H27" s="55"/>
    </row>
    <row r="28">
      <c r="A28" s="103" t="s">
        <v>132</v>
      </c>
      <c r="B28" s="15"/>
      <c r="C28" s="21"/>
      <c r="D28" s="49"/>
      <c r="E28" s="15"/>
      <c r="F28" s="15"/>
      <c r="G28" s="15"/>
      <c r="H28" s="21"/>
    </row>
    <row r="29">
      <c r="A29" s="104"/>
      <c r="B29" s="104"/>
    </row>
    <row r="30">
      <c r="A30" s="104"/>
      <c r="B30" s="104"/>
    </row>
    <row r="31">
      <c r="A31" s="104"/>
      <c r="B31" s="104"/>
    </row>
    <row r="32">
      <c r="A32" s="104"/>
      <c r="B32" s="104"/>
    </row>
    <row r="33">
      <c r="A33" s="104"/>
      <c r="B33" s="104"/>
    </row>
    <row r="34">
      <c r="A34" s="104"/>
      <c r="B34" s="104"/>
    </row>
    <row r="35">
      <c r="A35" s="104"/>
      <c r="B35" s="104"/>
    </row>
    <row r="36">
      <c r="A36" s="104"/>
      <c r="B36" s="104"/>
    </row>
    <row r="37">
      <c r="A37" s="104"/>
      <c r="B37" s="104"/>
    </row>
    <row r="38">
      <c r="A38" s="104"/>
      <c r="B38" s="104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</sheetData>
  <mergeCells count="34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A27:C27"/>
    <mergeCell ref="D27:G27"/>
    <mergeCell ref="A28:C28"/>
    <mergeCell ref="D28:H28"/>
    <mergeCell ref="E13:G13"/>
    <mergeCell ref="C14:C16"/>
    <mergeCell ref="E14:G14"/>
    <mergeCell ref="E15:G15"/>
    <mergeCell ref="E16:G16"/>
    <mergeCell ref="E17:G17"/>
    <mergeCell ref="A18:A2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</mergeCells>
  <conditionalFormatting sqref="H7:H26">
    <cfRule type="cellIs" dxfId="0" priority="1" operator="equal">
      <formula>"Pass"</formula>
    </cfRule>
  </conditionalFormatting>
  <conditionalFormatting sqref="H7:H26">
    <cfRule type="cellIs" dxfId="1" priority="2" operator="equal">
      <formula>"Fail"</formula>
    </cfRule>
  </conditionalFormatting>
  <conditionalFormatting sqref="A28:C28">
    <cfRule type="cellIs" dxfId="0" priority="3" operator="equal">
      <formula>"Pass"</formula>
    </cfRule>
  </conditionalFormatting>
  <conditionalFormatting sqref="A28:C28">
    <cfRule type="cellIs" dxfId="1" priority="4" operator="equal">
      <formula>"Fail"</formula>
    </cfRule>
  </conditionalFormatting>
  <dataValidations>
    <dataValidation type="list" allowBlank="1" showErrorMessage="1" sqref="D7:D13 D17:D2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">
      <formula1>"Select,Pass,Fail"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228</v>
      </c>
      <c r="B2" s="105" t="s">
        <v>113</v>
      </c>
      <c r="C2" s="15"/>
      <c r="D2" s="21"/>
      <c r="E2" s="42" t="s">
        <v>53</v>
      </c>
      <c r="F2" s="100" t="s">
        <v>26</v>
      </c>
      <c r="G2" s="42" t="s">
        <v>54</v>
      </c>
      <c r="H2" s="106" t="s">
        <v>2</v>
      </c>
    </row>
    <row r="3">
      <c r="A3" s="45" t="s">
        <v>55</v>
      </c>
      <c r="B3" s="46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2501816.0</v>
      </c>
    </row>
    <row r="4">
      <c r="A4" s="49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45694.0</v>
      </c>
    </row>
    <row r="5">
      <c r="A5" s="49"/>
      <c r="B5" s="15"/>
      <c r="C5" s="15"/>
      <c r="D5" s="21"/>
      <c r="E5" s="42" t="s">
        <v>60</v>
      </c>
      <c r="F5" s="110" t="s">
        <v>2</v>
      </c>
      <c r="G5" s="51" t="s">
        <v>61</v>
      </c>
      <c r="H5" s="108">
        <v>5.0</v>
      </c>
    </row>
    <row r="6">
      <c r="A6" s="52" t="s">
        <v>229</v>
      </c>
      <c r="B6" s="52"/>
      <c r="C6" s="52" t="s">
        <v>230</v>
      </c>
      <c r="D6" s="53"/>
      <c r="E6" s="54" t="s">
        <v>231</v>
      </c>
      <c r="F6" s="39"/>
      <c r="G6" s="13"/>
      <c r="H6" s="55"/>
    </row>
    <row r="7">
      <c r="A7" s="56" t="s">
        <v>232</v>
      </c>
      <c r="B7" s="56" t="s">
        <v>65</v>
      </c>
      <c r="C7" s="57" t="s">
        <v>119</v>
      </c>
      <c r="D7" s="58" t="s">
        <v>126</v>
      </c>
      <c r="E7" s="111" t="s">
        <v>223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1"/>
      <c r="B8" s="62"/>
      <c r="C8" s="57" t="s">
        <v>122</v>
      </c>
      <c r="D8" s="58" t="s">
        <v>120</v>
      </c>
      <c r="E8" s="111" t="s">
        <v>186</v>
      </c>
      <c r="F8" s="15"/>
      <c r="G8" s="21"/>
      <c r="H8" s="60" t="str">
        <f t="shared" si="1"/>
        <v>Pass</v>
      </c>
    </row>
    <row r="9">
      <c r="A9" s="63"/>
      <c r="B9" s="62"/>
      <c r="C9" s="57" t="s">
        <v>124</v>
      </c>
      <c r="D9" s="58" t="s">
        <v>126</v>
      </c>
      <c r="E9" s="111" t="s">
        <v>215</v>
      </c>
      <c r="F9" s="15"/>
      <c r="G9" s="21"/>
      <c r="H9" s="60" t="str">
        <f t="shared" si="1"/>
        <v>Pass</v>
      </c>
    </row>
    <row r="10">
      <c r="A10" s="63"/>
      <c r="B10" s="62"/>
      <c r="C10" s="57" t="s">
        <v>125</v>
      </c>
      <c r="D10" s="58" t="s">
        <v>120</v>
      </c>
      <c r="E10" s="111" t="s">
        <v>185</v>
      </c>
      <c r="F10" s="15"/>
      <c r="G10" s="21"/>
      <c r="H10" s="60" t="str">
        <f t="shared" si="1"/>
        <v>Pass</v>
      </c>
    </row>
    <row r="11">
      <c r="A11" s="63"/>
      <c r="B11" s="62"/>
      <c r="C11" s="57" t="s">
        <v>128</v>
      </c>
      <c r="D11" s="58" t="s">
        <v>120</v>
      </c>
      <c r="E11" s="111" t="s">
        <v>162</v>
      </c>
      <c r="F11" s="15"/>
      <c r="G11" s="21"/>
      <c r="H11" s="60" t="str">
        <f t="shared" si="1"/>
        <v>Pass</v>
      </c>
    </row>
    <row r="12">
      <c r="A12" s="63"/>
      <c r="B12" s="62"/>
      <c r="C12" s="57" t="s">
        <v>129</v>
      </c>
      <c r="D12" s="58" t="s">
        <v>126</v>
      </c>
      <c r="E12" s="111" t="s">
        <v>223</v>
      </c>
      <c r="F12" s="15"/>
      <c r="G12" s="21"/>
      <c r="H12" s="60" t="str">
        <f t="shared" si="1"/>
        <v>Pass</v>
      </c>
    </row>
    <row r="13">
      <c r="A13" s="63"/>
      <c r="B13" s="62"/>
      <c r="C13" s="57" t="s">
        <v>130</v>
      </c>
      <c r="D13" s="58" t="s">
        <v>120</v>
      </c>
      <c r="E13" s="111" t="s">
        <v>233</v>
      </c>
      <c r="F13" s="15"/>
      <c r="G13" s="21"/>
      <c r="H13" s="60" t="str">
        <f t="shared" si="1"/>
        <v>Pass</v>
      </c>
    </row>
    <row r="14">
      <c r="A14" s="63"/>
      <c r="B14" s="64" t="s">
        <v>234</v>
      </c>
      <c r="C14" s="65"/>
      <c r="D14" s="97" t="s">
        <v>132</v>
      </c>
      <c r="E14" s="59"/>
      <c r="F14" s="15"/>
      <c r="G14" s="21"/>
      <c r="H14" s="6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235</v>
      </c>
      <c r="C15" s="69"/>
      <c r="D15" s="97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236</v>
      </c>
      <c r="C16" s="21"/>
      <c r="D16" s="97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237</v>
      </c>
      <c r="B17" s="71" t="s">
        <v>70</v>
      </c>
      <c r="C17" s="72" t="s">
        <v>119</v>
      </c>
      <c r="D17" s="73" t="s">
        <v>126</v>
      </c>
      <c r="E17" s="112" t="s">
        <v>223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4"/>
      <c r="B18" s="75"/>
      <c r="C18" s="72" t="s">
        <v>122</v>
      </c>
      <c r="D18" s="73" t="s">
        <v>126</v>
      </c>
      <c r="E18" s="112" t="s">
        <v>205</v>
      </c>
      <c r="F18" s="15"/>
      <c r="G18" s="21"/>
      <c r="H18" s="60" t="str">
        <f t="shared" si="3"/>
        <v>Pass</v>
      </c>
    </row>
    <row r="19">
      <c r="A19" s="63"/>
      <c r="B19" s="75"/>
      <c r="C19" s="72" t="s">
        <v>124</v>
      </c>
      <c r="D19" s="73" t="s">
        <v>120</v>
      </c>
      <c r="E19" s="112" t="s">
        <v>215</v>
      </c>
      <c r="F19" s="15"/>
      <c r="G19" s="21"/>
      <c r="H19" s="60" t="str">
        <f t="shared" si="3"/>
        <v>Pass</v>
      </c>
    </row>
    <row r="20">
      <c r="A20" s="63"/>
      <c r="B20" s="75"/>
      <c r="C20" s="72" t="s">
        <v>125</v>
      </c>
      <c r="D20" s="73" t="s">
        <v>120</v>
      </c>
      <c r="E20" s="112" t="s">
        <v>185</v>
      </c>
      <c r="F20" s="15"/>
      <c r="G20" s="21"/>
      <c r="H20" s="60" t="str">
        <f t="shared" si="3"/>
        <v>Pass</v>
      </c>
    </row>
    <row r="21">
      <c r="A21" s="63"/>
      <c r="B21" s="75"/>
      <c r="C21" s="72" t="s">
        <v>128</v>
      </c>
      <c r="D21" s="73" t="s">
        <v>120</v>
      </c>
      <c r="E21" s="112" t="s">
        <v>185</v>
      </c>
      <c r="F21" s="15"/>
      <c r="G21" s="21"/>
      <c r="H21" s="60" t="str">
        <f t="shared" si="3"/>
        <v>Pass</v>
      </c>
    </row>
    <row r="22">
      <c r="A22" s="63"/>
      <c r="B22" s="75"/>
      <c r="C22" s="72" t="s">
        <v>129</v>
      </c>
      <c r="D22" s="73" t="s">
        <v>123</v>
      </c>
      <c r="E22" s="112" t="s">
        <v>233</v>
      </c>
      <c r="F22" s="15"/>
      <c r="G22" s="21"/>
      <c r="H22" s="60" t="str">
        <f t="shared" si="3"/>
        <v>Pass</v>
      </c>
    </row>
    <row r="23">
      <c r="A23" s="63"/>
      <c r="B23" s="75"/>
      <c r="C23" s="72" t="s">
        <v>130</v>
      </c>
      <c r="D23" s="73" t="s">
        <v>120</v>
      </c>
      <c r="E23" s="112" t="s">
        <v>215</v>
      </c>
      <c r="F23" s="15"/>
      <c r="G23" s="21"/>
      <c r="H23" s="60" t="str">
        <f t="shared" si="3"/>
        <v>Pass</v>
      </c>
    </row>
    <row r="24">
      <c r="A24" s="63"/>
      <c r="B24" s="76" t="s">
        <v>238</v>
      </c>
      <c r="C24" s="77"/>
      <c r="D24" s="113" t="s">
        <v>132</v>
      </c>
      <c r="E24" s="49"/>
      <c r="F24" s="15"/>
      <c r="G24" s="21"/>
      <c r="H24" s="6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239</v>
      </c>
      <c r="C25" s="69"/>
      <c r="D25" s="11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240</v>
      </c>
      <c r="C26" s="21"/>
      <c r="D26" s="11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241</v>
      </c>
      <c r="B27" s="56" t="s">
        <v>70</v>
      </c>
      <c r="C27" s="57" t="s">
        <v>119</v>
      </c>
      <c r="D27" s="58" t="s">
        <v>126</v>
      </c>
      <c r="E27" s="111" t="s">
        <v>223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1"/>
      <c r="B28" s="62"/>
      <c r="C28" s="57" t="s">
        <v>122</v>
      </c>
      <c r="D28" s="58" t="s">
        <v>126</v>
      </c>
      <c r="E28" s="111" t="s">
        <v>223</v>
      </c>
      <c r="F28" s="15"/>
      <c r="G28" s="21"/>
      <c r="H28" s="60" t="str">
        <f t="shared" si="5"/>
        <v>Pass</v>
      </c>
    </row>
    <row r="29">
      <c r="A29" s="63"/>
      <c r="B29" s="62"/>
      <c r="C29" s="57" t="s">
        <v>124</v>
      </c>
      <c r="D29" s="58" t="s">
        <v>120</v>
      </c>
      <c r="E29" s="111" t="s">
        <v>184</v>
      </c>
      <c r="F29" s="15"/>
      <c r="G29" s="21"/>
      <c r="H29" s="60" t="str">
        <f t="shared" si="5"/>
        <v>Pass</v>
      </c>
    </row>
    <row r="30">
      <c r="A30" s="63"/>
      <c r="B30" s="62"/>
      <c r="C30" s="57" t="s">
        <v>125</v>
      </c>
      <c r="D30" s="58" t="s">
        <v>120</v>
      </c>
      <c r="E30" s="111" t="s">
        <v>185</v>
      </c>
      <c r="F30" s="15"/>
      <c r="G30" s="21"/>
      <c r="H30" s="60" t="str">
        <f t="shared" si="5"/>
        <v>Pass</v>
      </c>
    </row>
    <row r="31">
      <c r="A31" s="63"/>
      <c r="B31" s="62"/>
      <c r="C31" s="57" t="s">
        <v>128</v>
      </c>
      <c r="D31" s="58" t="s">
        <v>120</v>
      </c>
      <c r="E31" s="111" t="s">
        <v>205</v>
      </c>
      <c r="F31" s="15"/>
      <c r="G31" s="21"/>
      <c r="H31" s="60" t="str">
        <f t="shared" si="5"/>
        <v>Pass</v>
      </c>
    </row>
    <row r="32">
      <c r="A32" s="63"/>
      <c r="B32" s="62"/>
      <c r="C32" s="57" t="s">
        <v>129</v>
      </c>
      <c r="D32" s="58" t="s">
        <v>126</v>
      </c>
      <c r="E32" s="111" t="s">
        <v>242</v>
      </c>
      <c r="F32" s="15"/>
      <c r="G32" s="21"/>
      <c r="H32" s="60" t="str">
        <f t="shared" si="5"/>
        <v>Pass</v>
      </c>
    </row>
    <row r="33">
      <c r="A33" s="63"/>
      <c r="B33" s="62"/>
      <c r="C33" s="57" t="s">
        <v>130</v>
      </c>
      <c r="D33" s="58" t="s">
        <v>120</v>
      </c>
      <c r="E33" s="111" t="s">
        <v>215</v>
      </c>
      <c r="F33" s="15"/>
      <c r="G33" s="21"/>
      <c r="H33" s="60" t="str">
        <f t="shared" si="5"/>
        <v>Pass</v>
      </c>
    </row>
    <row r="34">
      <c r="A34" s="63"/>
      <c r="B34" s="64" t="s">
        <v>243</v>
      </c>
      <c r="C34" s="65"/>
      <c r="D34" s="97" t="s">
        <v>132</v>
      </c>
      <c r="E34" s="59"/>
      <c r="F34" s="15"/>
      <c r="G34" s="21"/>
      <c r="H34" s="6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244</v>
      </c>
      <c r="C35" s="69"/>
      <c r="D35" s="97" t="s">
        <v>132</v>
      </c>
      <c r="E35" s="59"/>
      <c r="F35" s="15"/>
      <c r="G35" s="21"/>
      <c r="H35" s="6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245</v>
      </c>
      <c r="C36" s="21"/>
      <c r="D36" s="97" t="s">
        <v>132</v>
      </c>
      <c r="E36" s="59"/>
      <c r="F36" s="15"/>
      <c r="G36" s="21"/>
      <c r="H36" s="6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 t="s">
        <v>246</v>
      </c>
      <c r="B37" s="71" t="s">
        <v>70</v>
      </c>
      <c r="C37" s="72" t="s">
        <v>119</v>
      </c>
      <c r="D37" s="73" t="s">
        <v>126</v>
      </c>
      <c r="E37" s="112" t="s">
        <v>223</v>
      </c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74"/>
      <c r="B38" s="75"/>
      <c r="C38" s="72" t="s">
        <v>122</v>
      </c>
      <c r="D38" s="73" t="s">
        <v>126</v>
      </c>
      <c r="E38" s="112" t="s">
        <v>223</v>
      </c>
      <c r="F38" s="15"/>
      <c r="G38" s="21"/>
      <c r="H38" s="60" t="str">
        <f t="shared" si="7"/>
        <v>Pass</v>
      </c>
    </row>
    <row r="39">
      <c r="A39" s="63"/>
      <c r="B39" s="75"/>
      <c r="C39" s="72" t="s">
        <v>124</v>
      </c>
      <c r="D39" s="73" t="s">
        <v>120</v>
      </c>
      <c r="E39" s="112" t="s">
        <v>184</v>
      </c>
      <c r="F39" s="15"/>
      <c r="G39" s="21"/>
      <c r="H39" s="60" t="str">
        <f t="shared" si="7"/>
        <v>Pass</v>
      </c>
    </row>
    <row r="40">
      <c r="A40" s="63"/>
      <c r="B40" s="75"/>
      <c r="C40" s="72" t="s">
        <v>125</v>
      </c>
      <c r="D40" s="73" t="s">
        <v>120</v>
      </c>
      <c r="E40" s="112" t="s">
        <v>205</v>
      </c>
      <c r="F40" s="15"/>
      <c r="G40" s="21"/>
      <c r="H40" s="60" t="str">
        <f t="shared" si="7"/>
        <v>Pass</v>
      </c>
    </row>
    <row r="41">
      <c r="A41" s="63"/>
      <c r="B41" s="75"/>
      <c r="C41" s="72" t="s">
        <v>128</v>
      </c>
      <c r="D41" s="73" t="s">
        <v>120</v>
      </c>
      <c r="E41" s="112" t="s">
        <v>247</v>
      </c>
      <c r="F41" s="15"/>
      <c r="G41" s="21"/>
      <c r="H41" s="60" t="str">
        <f t="shared" si="7"/>
        <v>Pass</v>
      </c>
    </row>
    <row r="42">
      <c r="A42" s="63"/>
      <c r="B42" s="75"/>
      <c r="C42" s="72" t="s">
        <v>129</v>
      </c>
      <c r="D42" s="73" t="s">
        <v>123</v>
      </c>
      <c r="E42" s="112" t="s">
        <v>233</v>
      </c>
      <c r="F42" s="15"/>
      <c r="G42" s="21"/>
      <c r="H42" s="60" t="str">
        <f t="shared" si="7"/>
        <v>Pass</v>
      </c>
    </row>
    <row r="43">
      <c r="A43" s="63"/>
      <c r="B43" s="75"/>
      <c r="C43" s="72" t="s">
        <v>130</v>
      </c>
      <c r="D43" s="73" t="s">
        <v>126</v>
      </c>
      <c r="E43" s="112" t="s">
        <v>248</v>
      </c>
      <c r="F43" s="15"/>
      <c r="G43" s="21"/>
      <c r="H43" s="60" t="str">
        <f t="shared" si="7"/>
        <v>Pass</v>
      </c>
    </row>
    <row r="44">
      <c r="A44" s="63"/>
      <c r="B44" s="76" t="s">
        <v>249</v>
      </c>
      <c r="C44" s="77"/>
      <c r="D44" s="113" t="s">
        <v>132</v>
      </c>
      <c r="E44" s="49"/>
      <c r="F44" s="15"/>
      <c r="G44" s="21"/>
      <c r="H44" s="6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250</v>
      </c>
      <c r="C45" s="69"/>
      <c r="D45" s="113" t="s">
        <v>132</v>
      </c>
      <c r="E45" s="49"/>
      <c r="F45" s="15"/>
      <c r="G45" s="21"/>
      <c r="H45" s="6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251</v>
      </c>
      <c r="C46" s="21"/>
      <c r="D46" s="113" t="s">
        <v>132</v>
      </c>
      <c r="E46" s="49"/>
      <c r="F46" s="15"/>
      <c r="G46" s="21"/>
      <c r="H46" s="6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 t="s">
        <v>252</v>
      </c>
      <c r="B47" s="56" t="s">
        <v>70</v>
      </c>
      <c r="C47" s="57" t="s">
        <v>119</v>
      </c>
      <c r="D47" s="58" t="s">
        <v>126</v>
      </c>
      <c r="E47" s="111" t="s">
        <v>223</v>
      </c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61"/>
      <c r="B48" s="62"/>
      <c r="C48" s="57" t="s">
        <v>122</v>
      </c>
      <c r="D48" s="58" t="s">
        <v>126</v>
      </c>
      <c r="E48" s="111" t="s">
        <v>223</v>
      </c>
      <c r="F48" s="15"/>
      <c r="G48" s="21"/>
      <c r="H48" s="60" t="str">
        <f t="shared" si="9"/>
        <v>Pass</v>
      </c>
    </row>
    <row r="49">
      <c r="A49" s="63"/>
      <c r="B49" s="62"/>
      <c r="C49" s="57" t="s">
        <v>124</v>
      </c>
      <c r="D49" s="58" t="s">
        <v>120</v>
      </c>
      <c r="E49" s="111" t="s">
        <v>184</v>
      </c>
      <c r="F49" s="15"/>
      <c r="G49" s="21"/>
      <c r="H49" s="60" t="str">
        <f t="shared" si="9"/>
        <v>Pass</v>
      </c>
    </row>
    <row r="50">
      <c r="A50" s="63"/>
      <c r="B50" s="62"/>
      <c r="C50" s="57" t="s">
        <v>125</v>
      </c>
      <c r="D50" s="58" t="s">
        <v>120</v>
      </c>
      <c r="E50" s="111" t="s">
        <v>205</v>
      </c>
      <c r="F50" s="15"/>
      <c r="G50" s="21"/>
      <c r="H50" s="60" t="str">
        <f t="shared" si="9"/>
        <v>Pass</v>
      </c>
    </row>
    <row r="51">
      <c r="A51" s="63"/>
      <c r="B51" s="62"/>
      <c r="C51" s="57" t="s">
        <v>128</v>
      </c>
      <c r="D51" s="58" t="s">
        <v>126</v>
      </c>
      <c r="E51" s="111" t="s">
        <v>247</v>
      </c>
      <c r="F51" s="15"/>
      <c r="G51" s="21"/>
      <c r="H51" s="60" t="str">
        <f t="shared" si="9"/>
        <v>Pass</v>
      </c>
    </row>
    <row r="52">
      <c r="A52" s="63"/>
      <c r="B52" s="62"/>
      <c r="C52" s="57" t="s">
        <v>129</v>
      </c>
      <c r="D52" s="58" t="s">
        <v>126</v>
      </c>
      <c r="E52" s="111" t="s">
        <v>162</v>
      </c>
      <c r="F52" s="15"/>
      <c r="G52" s="21"/>
      <c r="H52" s="60" t="str">
        <f t="shared" si="9"/>
        <v>Pass</v>
      </c>
    </row>
    <row r="53">
      <c r="A53" s="63"/>
      <c r="B53" s="62"/>
      <c r="C53" s="57" t="s">
        <v>130</v>
      </c>
      <c r="D53" s="58" t="s">
        <v>126</v>
      </c>
      <c r="E53" s="111" t="s">
        <v>253</v>
      </c>
      <c r="F53" s="15"/>
      <c r="G53" s="21"/>
      <c r="H53" s="60" t="str">
        <f t="shared" si="9"/>
        <v>Pass</v>
      </c>
    </row>
    <row r="54">
      <c r="A54" s="63"/>
      <c r="B54" s="80" t="s">
        <v>254</v>
      </c>
      <c r="C54" s="81"/>
      <c r="D54" s="58" t="s">
        <v>132</v>
      </c>
      <c r="E54" s="59"/>
      <c r="F54" s="15"/>
      <c r="G54" s="21"/>
      <c r="H54" s="82" t="str">
        <f t="shared" ref="H54:H56" si="10">IF(D54="Pass", "Pass", IF(D54="Fail", "Fail", ""))</f>
        <v>Pass</v>
      </c>
    </row>
    <row r="55">
      <c r="A55" s="63"/>
      <c r="B55" s="80" t="s">
        <v>255</v>
      </c>
      <c r="C55" s="69"/>
      <c r="D55" s="58" t="s">
        <v>132</v>
      </c>
      <c r="E55" s="59"/>
      <c r="F55" s="15"/>
      <c r="G55" s="21"/>
      <c r="H55" s="82" t="str">
        <f t="shared" si="10"/>
        <v>Pass</v>
      </c>
    </row>
    <row r="56">
      <c r="A56" s="70"/>
      <c r="B56" s="80" t="s">
        <v>256</v>
      </c>
      <c r="C56" s="21"/>
      <c r="D56" s="58" t="s">
        <v>132</v>
      </c>
      <c r="E56" s="59"/>
      <c r="F56" s="15"/>
      <c r="G56" s="21"/>
      <c r="H56" s="82" t="str">
        <f t="shared" si="10"/>
        <v>Pass</v>
      </c>
    </row>
    <row r="57">
      <c r="A57" s="83" t="s">
        <v>83</v>
      </c>
      <c r="B57" s="15"/>
      <c r="C57" s="21"/>
      <c r="D57" s="84" t="s">
        <v>257</v>
      </c>
      <c r="E57" s="15"/>
      <c r="F57" s="15"/>
      <c r="G57" s="15"/>
      <c r="H57" s="85"/>
    </row>
    <row r="58">
      <c r="A58" s="86" t="s">
        <v>132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258</v>
      </c>
      <c r="B2" s="91" t="s">
        <v>113</v>
      </c>
      <c r="C2" s="15"/>
      <c r="D2" s="21"/>
      <c r="E2" s="42" t="s">
        <v>53</v>
      </c>
      <c r="F2" s="100" t="s">
        <v>26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2502119.0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45719.0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259</v>
      </c>
      <c r="B6" s="93"/>
      <c r="C6" s="52" t="s">
        <v>260</v>
      </c>
      <c r="D6" s="53"/>
      <c r="E6" s="84" t="s">
        <v>261</v>
      </c>
      <c r="F6" s="15"/>
      <c r="G6" s="15"/>
      <c r="H6" s="85"/>
    </row>
    <row r="7">
      <c r="A7" s="56" t="s">
        <v>262</v>
      </c>
      <c r="B7" s="56" t="s">
        <v>65</v>
      </c>
      <c r="C7" s="57" t="s">
        <v>119</v>
      </c>
      <c r="D7" s="58" t="s">
        <v>161</v>
      </c>
      <c r="E7" s="111" t="s">
        <v>121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217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120</v>
      </c>
      <c r="E9" s="111" t="s">
        <v>215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161</v>
      </c>
      <c r="E10" s="111" t="s">
        <v>263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120</v>
      </c>
      <c r="E11" s="111" t="s">
        <v>185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120</v>
      </c>
      <c r="E12" s="111" t="s">
        <v>233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161</v>
      </c>
      <c r="E13" s="111" t="s">
        <v>264</v>
      </c>
      <c r="F13" s="15"/>
      <c r="G13" s="21"/>
      <c r="H13" s="60" t="str">
        <f t="shared" si="1"/>
        <v>Pass</v>
      </c>
    </row>
    <row r="14">
      <c r="A14" s="63"/>
      <c r="B14" s="64" t="s">
        <v>265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266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267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268</v>
      </c>
      <c r="B17" s="71" t="s">
        <v>65</v>
      </c>
      <c r="C17" s="72" t="s">
        <v>119</v>
      </c>
      <c r="D17" s="73" t="s">
        <v>161</v>
      </c>
      <c r="E17" s="112" t="s">
        <v>121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126</v>
      </c>
      <c r="E18" s="112" t="s">
        <v>217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120</v>
      </c>
      <c r="E19" s="112" t="s">
        <v>215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161</v>
      </c>
      <c r="E20" s="112" t="s">
        <v>263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161</v>
      </c>
      <c r="E21" s="112" t="s">
        <v>185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120</v>
      </c>
      <c r="E22" s="112" t="s">
        <v>233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120</v>
      </c>
      <c r="E23" s="112" t="s">
        <v>264</v>
      </c>
      <c r="F23" s="15"/>
      <c r="G23" s="21"/>
      <c r="H23" s="60" t="str">
        <f t="shared" si="3"/>
        <v>Pass</v>
      </c>
    </row>
    <row r="24">
      <c r="A24" s="63"/>
      <c r="B24" s="76" t="s">
        <v>269</v>
      </c>
      <c r="C24" s="77"/>
      <c r="D24" s="73" t="s">
        <v>132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270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271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272</v>
      </c>
      <c r="B27" s="56" t="s">
        <v>65</v>
      </c>
      <c r="C27" s="57" t="s">
        <v>119</v>
      </c>
      <c r="D27" s="58" t="s">
        <v>161</v>
      </c>
      <c r="E27" s="111" t="s">
        <v>121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126</v>
      </c>
      <c r="E28" s="111" t="s">
        <v>217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120</v>
      </c>
      <c r="E29" s="111" t="s">
        <v>215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161</v>
      </c>
      <c r="E30" s="111" t="s">
        <v>273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161</v>
      </c>
      <c r="E31" s="111" t="s">
        <v>185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120</v>
      </c>
      <c r="E32" s="111" t="s">
        <v>233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120</v>
      </c>
      <c r="E33" s="111" t="s">
        <v>264</v>
      </c>
      <c r="F33" s="15"/>
      <c r="G33" s="21"/>
      <c r="H33" s="60" t="str">
        <f t="shared" si="5"/>
        <v>Pass</v>
      </c>
    </row>
    <row r="34">
      <c r="A34" s="63"/>
      <c r="B34" s="64" t="s">
        <v>274</v>
      </c>
      <c r="C34" s="81"/>
      <c r="D34" s="58" t="s">
        <v>132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275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276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277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278</v>
      </c>
      <c r="B2" s="91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2502312.0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45723.0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279</v>
      </c>
      <c r="B6" s="93"/>
      <c r="C6" s="52" t="s">
        <v>280</v>
      </c>
      <c r="D6" s="53"/>
      <c r="E6" s="84" t="s">
        <v>281</v>
      </c>
      <c r="F6" s="15"/>
      <c r="G6" s="15"/>
      <c r="H6" s="85"/>
    </row>
    <row r="7">
      <c r="A7" s="56" t="s">
        <v>282</v>
      </c>
      <c r="B7" s="56" t="s">
        <v>65</v>
      </c>
      <c r="C7" s="57" t="s">
        <v>119</v>
      </c>
      <c r="D7" s="58" t="s">
        <v>120</v>
      </c>
      <c r="E7" s="111" t="s">
        <v>283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184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126</v>
      </c>
      <c r="E9" s="111" t="s">
        <v>215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161</v>
      </c>
      <c r="E10" s="111" t="s">
        <v>284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161</v>
      </c>
      <c r="E11" s="111" t="s">
        <v>285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123</v>
      </c>
      <c r="E12" s="59"/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120</v>
      </c>
      <c r="E13" s="111" t="s">
        <v>253</v>
      </c>
      <c r="F13" s="15"/>
      <c r="G13" s="21"/>
      <c r="H13" s="60" t="str">
        <f t="shared" si="1"/>
        <v>Pass</v>
      </c>
    </row>
    <row r="14">
      <c r="A14" s="63"/>
      <c r="B14" s="64" t="s">
        <v>286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287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288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289</v>
      </c>
      <c r="B17" s="71" t="s">
        <v>65</v>
      </c>
      <c r="C17" s="72" t="s">
        <v>119</v>
      </c>
      <c r="D17" s="73" t="s">
        <v>161</v>
      </c>
      <c r="E17" s="112" t="s">
        <v>290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126</v>
      </c>
      <c r="E18" s="112" t="s">
        <v>121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126</v>
      </c>
      <c r="E19" s="112" t="s">
        <v>215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161</v>
      </c>
      <c r="E20" s="112" t="s">
        <v>284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161</v>
      </c>
      <c r="E21" s="112" t="s">
        <v>285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123</v>
      </c>
      <c r="E22" s="112" t="s">
        <v>217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126</v>
      </c>
      <c r="E23" s="112" t="s">
        <v>187</v>
      </c>
      <c r="F23" s="15"/>
      <c r="G23" s="21"/>
      <c r="H23" s="60" t="str">
        <f t="shared" si="3"/>
        <v>Pass</v>
      </c>
    </row>
    <row r="24">
      <c r="A24" s="63"/>
      <c r="B24" s="76" t="s">
        <v>291</v>
      </c>
      <c r="C24" s="77"/>
      <c r="D24" s="73" t="s">
        <v>132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292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293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294</v>
      </c>
      <c r="B27" s="56" t="s">
        <v>65</v>
      </c>
      <c r="C27" s="57" t="s">
        <v>119</v>
      </c>
      <c r="D27" s="58" t="s">
        <v>161</v>
      </c>
      <c r="E27" s="111" t="s">
        <v>290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126</v>
      </c>
      <c r="E28" s="111" t="s">
        <v>121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215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161</v>
      </c>
      <c r="E30" s="111" t="s">
        <v>284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161</v>
      </c>
      <c r="E31" s="111" t="s">
        <v>285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123</v>
      </c>
      <c r="E32" s="111" t="s">
        <v>217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126</v>
      </c>
      <c r="E33" s="111" t="s">
        <v>187</v>
      </c>
      <c r="F33" s="15"/>
      <c r="G33" s="21"/>
      <c r="H33" s="60" t="str">
        <f t="shared" si="5"/>
        <v>Pass</v>
      </c>
    </row>
    <row r="34">
      <c r="A34" s="63"/>
      <c r="B34" s="64" t="s">
        <v>295</v>
      </c>
      <c r="C34" s="81"/>
      <c r="D34" s="58" t="s">
        <v>132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296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297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298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299</v>
      </c>
      <c r="B2" s="91" t="s">
        <v>113</v>
      </c>
      <c r="C2" s="15"/>
      <c r="D2" s="21"/>
      <c r="E2" s="42" t="s">
        <v>53</v>
      </c>
      <c r="F2" s="100" t="s">
        <v>26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2502433.0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45751.0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300</v>
      </c>
      <c r="B6" s="93"/>
      <c r="C6" s="52" t="s">
        <v>301</v>
      </c>
      <c r="D6" s="53"/>
      <c r="E6" s="84" t="s">
        <v>302</v>
      </c>
      <c r="F6" s="15"/>
      <c r="G6" s="15"/>
      <c r="H6" s="85"/>
    </row>
    <row r="7">
      <c r="A7" s="56" t="s">
        <v>303</v>
      </c>
      <c r="B7" s="56" t="s">
        <v>65</v>
      </c>
      <c r="C7" s="57" t="s">
        <v>119</v>
      </c>
      <c r="D7" s="58" t="s">
        <v>120</v>
      </c>
      <c r="E7" s="111" t="s">
        <v>121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184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126</v>
      </c>
      <c r="E9" s="111" t="s">
        <v>184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120</v>
      </c>
      <c r="E10" s="111" t="s">
        <v>304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120</v>
      </c>
      <c r="E11" s="111" t="s">
        <v>290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126</v>
      </c>
      <c r="E12" s="59"/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120</v>
      </c>
      <c r="E13" s="111" t="s">
        <v>305</v>
      </c>
      <c r="F13" s="15"/>
      <c r="G13" s="21"/>
      <c r="H13" s="60" t="str">
        <f t="shared" si="1"/>
        <v>Pass</v>
      </c>
    </row>
    <row r="14">
      <c r="A14" s="63"/>
      <c r="B14" s="64" t="s">
        <v>306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307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308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309</v>
      </c>
      <c r="B17" s="71" t="s">
        <v>65</v>
      </c>
      <c r="C17" s="72" t="s">
        <v>119</v>
      </c>
      <c r="D17" s="73" t="s">
        <v>126</v>
      </c>
      <c r="E17" s="112" t="s">
        <v>184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123</v>
      </c>
      <c r="E18" s="112" t="s">
        <v>310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126</v>
      </c>
      <c r="E19" s="112" t="s">
        <v>121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120</v>
      </c>
      <c r="E20" s="112" t="s">
        <v>273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120</v>
      </c>
      <c r="E21" s="112" t="s">
        <v>182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123</v>
      </c>
      <c r="E22" s="49"/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120</v>
      </c>
      <c r="E23" s="112" t="s">
        <v>305</v>
      </c>
      <c r="F23" s="15"/>
      <c r="G23" s="21"/>
      <c r="H23" s="60" t="str">
        <f t="shared" si="3"/>
        <v>Pass</v>
      </c>
    </row>
    <row r="24">
      <c r="A24" s="63"/>
      <c r="B24" s="76" t="s">
        <v>311</v>
      </c>
      <c r="C24" s="77"/>
      <c r="D24" s="73" t="s">
        <v>132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312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313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314</v>
      </c>
      <c r="B27" s="56" t="s">
        <v>65</v>
      </c>
      <c r="C27" s="57" t="s">
        <v>119</v>
      </c>
      <c r="D27" s="58" t="s">
        <v>120</v>
      </c>
      <c r="E27" s="111" t="s">
        <v>121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123</v>
      </c>
      <c r="E28" s="111" t="s">
        <v>310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184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126</v>
      </c>
      <c r="E30" s="111" t="s">
        <v>315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120</v>
      </c>
      <c r="E31" s="111" t="s">
        <v>121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123</v>
      </c>
      <c r="E32" s="59"/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120</v>
      </c>
      <c r="E33" s="111" t="s">
        <v>305</v>
      </c>
      <c r="F33" s="15"/>
      <c r="G33" s="21"/>
      <c r="H33" s="60" t="str">
        <f t="shared" si="5"/>
        <v>Pass</v>
      </c>
    </row>
    <row r="34">
      <c r="A34" s="63"/>
      <c r="B34" s="64" t="s">
        <v>316</v>
      </c>
      <c r="C34" s="81"/>
      <c r="D34" s="58" t="s">
        <v>132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317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318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319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320</v>
      </c>
      <c r="B2" s="105" t="s">
        <v>113</v>
      </c>
      <c r="C2" s="15"/>
      <c r="D2" s="21"/>
      <c r="E2" s="42" t="s">
        <v>53</v>
      </c>
      <c r="F2" s="100" t="s">
        <v>36</v>
      </c>
      <c r="G2" s="42" t="s">
        <v>54</v>
      </c>
      <c r="H2" s="106" t="s">
        <v>38</v>
      </c>
    </row>
    <row r="3">
      <c r="A3" s="45" t="s">
        <v>55</v>
      </c>
      <c r="B3" s="46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2502695.0</v>
      </c>
    </row>
    <row r="4">
      <c r="A4" s="49"/>
      <c r="B4" s="15"/>
      <c r="C4" s="15"/>
      <c r="D4" s="21"/>
      <c r="E4" s="42" t="s">
        <v>58</v>
      </c>
      <c r="F4" s="100" t="s">
        <v>37</v>
      </c>
      <c r="G4" s="42" t="s">
        <v>59</v>
      </c>
      <c r="H4" s="109">
        <v>45802.0</v>
      </c>
    </row>
    <row r="5">
      <c r="A5" s="49"/>
      <c r="B5" s="15"/>
      <c r="C5" s="15"/>
      <c r="D5" s="21"/>
      <c r="E5" s="42" t="s">
        <v>60</v>
      </c>
      <c r="F5" s="50"/>
      <c r="G5" s="51" t="s">
        <v>61</v>
      </c>
      <c r="H5" s="108">
        <v>5.0</v>
      </c>
    </row>
    <row r="6">
      <c r="A6" s="52" t="s">
        <v>321</v>
      </c>
      <c r="B6" s="52"/>
      <c r="C6" s="52" t="s">
        <v>322</v>
      </c>
      <c r="D6" s="53"/>
      <c r="E6" s="54" t="s">
        <v>323</v>
      </c>
      <c r="F6" s="39"/>
      <c r="G6" s="13"/>
      <c r="H6" s="55"/>
    </row>
    <row r="7">
      <c r="A7" s="56" t="s">
        <v>324</v>
      </c>
      <c r="B7" s="56" t="s">
        <v>65</v>
      </c>
      <c r="C7" s="57" t="s">
        <v>119</v>
      </c>
      <c r="D7" s="58" t="s">
        <v>126</v>
      </c>
      <c r="E7" s="111" t="s">
        <v>325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1"/>
      <c r="B8" s="62"/>
      <c r="C8" s="57" t="s">
        <v>122</v>
      </c>
      <c r="D8" s="58" t="s">
        <v>126</v>
      </c>
      <c r="E8" s="111" t="s">
        <v>233</v>
      </c>
      <c r="F8" s="15"/>
      <c r="G8" s="21"/>
      <c r="H8" s="60" t="str">
        <f t="shared" si="1"/>
        <v>Pass</v>
      </c>
    </row>
    <row r="9">
      <c r="A9" s="63"/>
      <c r="B9" s="62"/>
      <c r="C9" s="57" t="s">
        <v>124</v>
      </c>
      <c r="D9" s="58" t="s">
        <v>120</v>
      </c>
      <c r="E9" s="111" t="s">
        <v>233</v>
      </c>
      <c r="F9" s="15"/>
      <c r="G9" s="21"/>
      <c r="H9" s="60" t="str">
        <f t="shared" si="1"/>
        <v>Pass</v>
      </c>
    </row>
    <row r="10">
      <c r="A10" s="63"/>
      <c r="B10" s="62"/>
      <c r="C10" s="57" t="s">
        <v>125</v>
      </c>
      <c r="D10" s="58" t="s">
        <v>123</v>
      </c>
      <c r="E10" s="111"/>
      <c r="F10" s="15"/>
      <c r="G10" s="21"/>
      <c r="H10" s="60" t="str">
        <f t="shared" si="1"/>
        <v>Pass</v>
      </c>
    </row>
    <row r="11">
      <c r="A11" s="63"/>
      <c r="B11" s="62"/>
      <c r="C11" s="57" t="s">
        <v>128</v>
      </c>
      <c r="D11" s="58" t="s">
        <v>120</v>
      </c>
      <c r="E11" s="111" t="s">
        <v>233</v>
      </c>
      <c r="F11" s="15"/>
      <c r="G11" s="21"/>
      <c r="H11" s="60" t="str">
        <f t="shared" si="1"/>
        <v>Pass</v>
      </c>
    </row>
    <row r="12">
      <c r="A12" s="63"/>
      <c r="B12" s="62"/>
      <c r="C12" s="57" t="s">
        <v>129</v>
      </c>
      <c r="D12" s="58" t="s">
        <v>126</v>
      </c>
      <c r="E12" s="111" t="s">
        <v>205</v>
      </c>
      <c r="F12" s="15"/>
      <c r="G12" s="21"/>
      <c r="H12" s="60" t="str">
        <f t="shared" si="1"/>
        <v>Pass</v>
      </c>
    </row>
    <row r="13">
      <c r="A13" s="63"/>
      <c r="B13" s="62"/>
      <c r="C13" s="57" t="s">
        <v>130</v>
      </c>
      <c r="D13" s="58" t="s">
        <v>126</v>
      </c>
      <c r="E13" s="111" t="s">
        <v>326</v>
      </c>
      <c r="F13" s="15"/>
      <c r="G13" s="21"/>
      <c r="H13" s="60" t="str">
        <f t="shared" si="1"/>
        <v>Pass</v>
      </c>
    </row>
    <row r="14">
      <c r="A14" s="63"/>
      <c r="B14" s="64" t="s">
        <v>327</v>
      </c>
      <c r="C14" s="65"/>
      <c r="D14" s="97" t="s">
        <v>132</v>
      </c>
      <c r="E14" s="111" t="s">
        <v>328</v>
      </c>
      <c r="F14" s="15"/>
      <c r="G14" s="21"/>
      <c r="H14" s="6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329</v>
      </c>
      <c r="C15" s="69"/>
      <c r="D15" s="97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330</v>
      </c>
      <c r="C16" s="21"/>
      <c r="D16" s="97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331</v>
      </c>
      <c r="B17" s="71" t="s">
        <v>70</v>
      </c>
      <c r="C17" s="72" t="s">
        <v>119</v>
      </c>
      <c r="D17" s="73" t="s">
        <v>126</v>
      </c>
      <c r="E17" s="112" t="s">
        <v>205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4"/>
      <c r="B18" s="75"/>
      <c r="C18" s="72" t="s">
        <v>122</v>
      </c>
      <c r="D18" s="73" t="s">
        <v>126</v>
      </c>
      <c r="E18" s="112" t="s">
        <v>332</v>
      </c>
      <c r="F18" s="15"/>
      <c r="G18" s="21"/>
      <c r="H18" s="60" t="str">
        <f t="shared" si="3"/>
        <v>Pass</v>
      </c>
    </row>
    <row r="19">
      <c r="A19" s="63"/>
      <c r="B19" s="75"/>
      <c r="C19" s="72" t="s">
        <v>124</v>
      </c>
      <c r="D19" s="73" t="s">
        <v>120</v>
      </c>
      <c r="E19" s="112" t="s">
        <v>233</v>
      </c>
      <c r="F19" s="15"/>
      <c r="G19" s="21"/>
      <c r="H19" s="60" t="str">
        <f t="shared" si="3"/>
        <v>Pass</v>
      </c>
    </row>
    <row r="20">
      <c r="A20" s="63"/>
      <c r="B20" s="75"/>
      <c r="C20" s="72" t="s">
        <v>125</v>
      </c>
      <c r="D20" s="73" t="s">
        <v>126</v>
      </c>
      <c r="E20" s="112" t="s">
        <v>233</v>
      </c>
      <c r="F20" s="15"/>
      <c r="G20" s="21"/>
      <c r="H20" s="60" t="str">
        <f t="shared" si="3"/>
        <v>Pass</v>
      </c>
    </row>
    <row r="21">
      <c r="A21" s="63"/>
      <c r="B21" s="75"/>
      <c r="C21" s="72" t="s">
        <v>128</v>
      </c>
      <c r="D21" s="73" t="s">
        <v>126</v>
      </c>
      <c r="E21" s="112" t="s">
        <v>233</v>
      </c>
      <c r="F21" s="15"/>
      <c r="G21" s="21"/>
      <c r="H21" s="60" t="str">
        <f t="shared" si="3"/>
        <v>Pass</v>
      </c>
    </row>
    <row r="22">
      <c r="A22" s="63"/>
      <c r="B22" s="75"/>
      <c r="C22" s="72" t="s">
        <v>129</v>
      </c>
      <c r="D22" s="73" t="s">
        <v>126</v>
      </c>
      <c r="E22" s="112" t="s">
        <v>217</v>
      </c>
      <c r="F22" s="15"/>
      <c r="G22" s="21"/>
      <c r="H22" s="60" t="str">
        <f t="shared" si="3"/>
        <v>Pass</v>
      </c>
    </row>
    <row r="23">
      <c r="A23" s="63"/>
      <c r="B23" s="75"/>
      <c r="C23" s="72" t="s">
        <v>130</v>
      </c>
      <c r="D23" s="73" t="s">
        <v>126</v>
      </c>
      <c r="E23" s="112" t="s">
        <v>163</v>
      </c>
      <c r="F23" s="15"/>
      <c r="G23" s="21"/>
      <c r="H23" s="60" t="str">
        <f t="shared" si="3"/>
        <v>Pass</v>
      </c>
    </row>
    <row r="24">
      <c r="A24" s="63"/>
      <c r="B24" s="76" t="s">
        <v>333</v>
      </c>
      <c r="C24" s="77"/>
      <c r="D24" s="113" t="s">
        <v>132</v>
      </c>
      <c r="E24" s="112" t="s">
        <v>328</v>
      </c>
      <c r="F24" s="15"/>
      <c r="G24" s="21"/>
      <c r="H24" s="6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334</v>
      </c>
      <c r="C25" s="69"/>
      <c r="D25" s="11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335</v>
      </c>
      <c r="C26" s="21"/>
      <c r="D26" s="11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336</v>
      </c>
      <c r="B27" s="56" t="s">
        <v>70</v>
      </c>
      <c r="C27" s="57" t="s">
        <v>119</v>
      </c>
      <c r="D27" s="58" t="s">
        <v>126</v>
      </c>
      <c r="E27" s="111" t="s">
        <v>205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1"/>
      <c r="B28" s="62"/>
      <c r="C28" s="57" t="s">
        <v>122</v>
      </c>
      <c r="D28" s="58" t="s">
        <v>123</v>
      </c>
      <c r="E28" s="59"/>
      <c r="F28" s="15"/>
      <c r="G28" s="21"/>
      <c r="H28" s="60" t="str">
        <f t="shared" si="5"/>
        <v>Pass</v>
      </c>
    </row>
    <row r="29">
      <c r="A29" s="63"/>
      <c r="B29" s="62"/>
      <c r="C29" s="57" t="s">
        <v>124</v>
      </c>
      <c r="D29" s="58" t="s">
        <v>126</v>
      </c>
      <c r="E29" s="111" t="s">
        <v>233</v>
      </c>
      <c r="F29" s="15"/>
      <c r="G29" s="21"/>
      <c r="H29" s="60" t="str">
        <f t="shared" si="5"/>
        <v>Pass</v>
      </c>
    </row>
    <row r="30">
      <c r="A30" s="63"/>
      <c r="B30" s="62"/>
      <c r="C30" s="57" t="s">
        <v>125</v>
      </c>
      <c r="D30" s="58" t="s">
        <v>126</v>
      </c>
      <c r="E30" s="111" t="s">
        <v>233</v>
      </c>
      <c r="F30" s="15"/>
      <c r="G30" s="21"/>
      <c r="H30" s="60" t="str">
        <f t="shared" si="5"/>
        <v>Pass</v>
      </c>
    </row>
    <row r="31">
      <c r="A31" s="63"/>
      <c r="B31" s="62"/>
      <c r="C31" s="57" t="s">
        <v>128</v>
      </c>
      <c r="D31" s="58" t="s">
        <v>123</v>
      </c>
      <c r="E31" s="59"/>
      <c r="F31" s="15"/>
      <c r="G31" s="21"/>
      <c r="H31" s="60" t="str">
        <f t="shared" si="5"/>
        <v>Pass</v>
      </c>
    </row>
    <row r="32">
      <c r="A32" s="63"/>
      <c r="B32" s="62"/>
      <c r="C32" s="57" t="s">
        <v>129</v>
      </c>
      <c r="D32" s="58" t="s">
        <v>126</v>
      </c>
      <c r="E32" s="111" t="s">
        <v>205</v>
      </c>
      <c r="F32" s="15"/>
      <c r="G32" s="21"/>
      <c r="H32" s="60" t="str">
        <f t="shared" si="5"/>
        <v>Pass</v>
      </c>
    </row>
    <row r="33">
      <c r="A33" s="63"/>
      <c r="B33" s="62"/>
      <c r="C33" s="57" t="s">
        <v>130</v>
      </c>
      <c r="D33" s="58" t="s">
        <v>123</v>
      </c>
      <c r="E33" s="59"/>
      <c r="F33" s="15"/>
      <c r="G33" s="21"/>
      <c r="H33" s="60" t="str">
        <f t="shared" si="5"/>
        <v>Pass</v>
      </c>
    </row>
    <row r="34">
      <c r="A34" s="63"/>
      <c r="B34" s="64" t="s">
        <v>337</v>
      </c>
      <c r="C34" s="65"/>
      <c r="D34" s="97" t="s">
        <v>132</v>
      </c>
      <c r="E34" s="111" t="s">
        <v>338</v>
      </c>
      <c r="F34" s="15"/>
      <c r="G34" s="21"/>
      <c r="H34" s="6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339</v>
      </c>
      <c r="C35" s="69"/>
      <c r="D35" s="97" t="s">
        <v>132</v>
      </c>
      <c r="E35" s="59"/>
      <c r="F35" s="15"/>
      <c r="G35" s="21"/>
      <c r="H35" s="6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340</v>
      </c>
      <c r="C36" s="21"/>
      <c r="D36" s="97" t="s">
        <v>132</v>
      </c>
      <c r="E36" s="59"/>
      <c r="F36" s="15"/>
      <c r="G36" s="21"/>
      <c r="H36" s="6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 t="s">
        <v>341</v>
      </c>
      <c r="B37" s="71" t="s">
        <v>70</v>
      </c>
      <c r="C37" s="72" t="s">
        <v>119</v>
      </c>
      <c r="D37" s="73" t="s">
        <v>120</v>
      </c>
      <c r="E37" s="112" t="s">
        <v>325</v>
      </c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74"/>
      <c r="B38" s="75"/>
      <c r="C38" s="72" t="s">
        <v>122</v>
      </c>
      <c r="D38" s="73" t="s">
        <v>126</v>
      </c>
      <c r="E38" s="112" t="s">
        <v>233</v>
      </c>
      <c r="F38" s="15"/>
      <c r="G38" s="21"/>
      <c r="H38" s="60" t="str">
        <f t="shared" si="7"/>
        <v>Pass</v>
      </c>
    </row>
    <row r="39">
      <c r="A39" s="63"/>
      <c r="B39" s="75"/>
      <c r="C39" s="72" t="s">
        <v>124</v>
      </c>
      <c r="D39" s="73" t="s">
        <v>126</v>
      </c>
      <c r="E39" s="112" t="s">
        <v>233</v>
      </c>
      <c r="F39" s="15"/>
      <c r="G39" s="21"/>
      <c r="H39" s="60" t="str">
        <f t="shared" si="7"/>
        <v>Pass</v>
      </c>
    </row>
    <row r="40">
      <c r="A40" s="63"/>
      <c r="B40" s="75"/>
      <c r="C40" s="72" t="s">
        <v>125</v>
      </c>
      <c r="D40" s="73" t="s">
        <v>123</v>
      </c>
      <c r="E40" s="112" t="s">
        <v>184</v>
      </c>
      <c r="F40" s="15"/>
      <c r="G40" s="21"/>
      <c r="H40" s="60" t="str">
        <f t="shared" si="7"/>
        <v>Pass</v>
      </c>
    </row>
    <row r="41">
      <c r="A41" s="63"/>
      <c r="B41" s="75"/>
      <c r="C41" s="72" t="s">
        <v>128</v>
      </c>
      <c r="D41" s="73" t="s">
        <v>126</v>
      </c>
      <c r="E41" s="112" t="s">
        <v>233</v>
      </c>
      <c r="F41" s="15"/>
      <c r="G41" s="21"/>
      <c r="H41" s="60" t="str">
        <f t="shared" si="7"/>
        <v>Pass</v>
      </c>
    </row>
    <row r="42">
      <c r="A42" s="63"/>
      <c r="B42" s="75"/>
      <c r="C42" s="72" t="s">
        <v>129</v>
      </c>
      <c r="D42" s="73" t="s">
        <v>123</v>
      </c>
      <c r="E42" s="49"/>
      <c r="F42" s="15"/>
      <c r="G42" s="21"/>
      <c r="H42" s="60" t="str">
        <f t="shared" si="7"/>
        <v>Pass</v>
      </c>
    </row>
    <row r="43">
      <c r="A43" s="63"/>
      <c r="B43" s="75"/>
      <c r="C43" s="72" t="s">
        <v>130</v>
      </c>
      <c r="D43" s="73" t="s">
        <v>120</v>
      </c>
      <c r="E43" s="112" t="s">
        <v>223</v>
      </c>
      <c r="F43" s="15"/>
      <c r="G43" s="21"/>
      <c r="H43" s="60" t="str">
        <f t="shared" si="7"/>
        <v>Pass</v>
      </c>
    </row>
    <row r="44">
      <c r="A44" s="63"/>
      <c r="B44" s="76" t="s">
        <v>342</v>
      </c>
      <c r="C44" s="77"/>
      <c r="D44" s="113" t="s">
        <v>132</v>
      </c>
      <c r="E44" s="112" t="s">
        <v>343</v>
      </c>
      <c r="F44" s="15"/>
      <c r="G44" s="21"/>
      <c r="H44" s="6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344</v>
      </c>
      <c r="C45" s="69"/>
      <c r="D45" s="113" t="s">
        <v>132</v>
      </c>
      <c r="E45" s="49"/>
      <c r="F45" s="15"/>
      <c r="G45" s="21"/>
      <c r="H45" s="6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345</v>
      </c>
      <c r="C46" s="21"/>
      <c r="D46" s="113" t="s">
        <v>132</v>
      </c>
      <c r="E46" s="49"/>
      <c r="F46" s="15"/>
      <c r="G46" s="21"/>
      <c r="H46" s="6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 t="s">
        <v>346</v>
      </c>
      <c r="B47" s="56" t="s">
        <v>70</v>
      </c>
      <c r="C47" s="57" t="s">
        <v>119</v>
      </c>
      <c r="D47" s="58" t="s">
        <v>120</v>
      </c>
      <c r="E47" s="111" t="s">
        <v>205</v>
      </c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61"/>
      <c r="B48" s="62"/>
      <c r="C48" s="57" t="s">
        <v>122</v>
      </c>
      <c r="D48" s="58" t="s">
        <v>123</v>
      </c>
      <c r="E48" s="59"/>
      <c r="F48" s="15"/>
      <c r="G48" s="21"/>
      <c r="H48" s="60" t="str">
        <f t="shared" si="9"/>
        <v>Pass</v>
      </c>
    </row>
    <row r="49">
      <c r="A49" s="63"/>
      <c r="B49" s="62"/>
      <c r="C49" s="57" t="s">
        <v>124</v>
      </c>
      <c r="D49" s="58" t="s">
        <v>126</v>
      </c>
      <c r="E49" s="111" t="s">
        <v>217</v>
      </c>
      <c r="F49" s="15"/>
      <c r="G49" s="21"/>
      <c r="H49" s="60" t="str">
        <f t="shared" si="9"/>
        <v>Pass</v>
      </c>
    </row>
    <row r="50">
      <c r="A50" s="63"/>
      <c r="B50" s="62"/>
      <c r="C50" s="57" t="s">
        <v>125</v>
      </c>
      <c r="D50" s="58" t="s">
        <v>126</v>
      </c>
      <c r="E50" s="111" t="s">
        <v>233</v>
      </c>
      <c r="F50" s="15"/>
      <c r="G50" s="21"/>
      <c r="H50" s="60" t="str">
        <f t="shared" si="9"/>
        <v>Pass</v>
      </c>
    </row>
    <row r="51">
      <c r="A51" s="63"/>
      <c r="B51" s="62"/>
      <c r="C51" s="57" t="s">
        <v>128</v>
      </c>
      <c r="D51" s="58" t="s">
        <v>126</v>
      </c>
      <c r="E51" s="111" t="s">
        <v>325</v>
      </c>
      <c r="F51" s="15"/>
      <c r="G51" s="21"/>
      <c r="H51" s="60" t="str">
        <f t="shared" si="9"/>
        <v>Pass</v>
      </c>
    </row>
    <row r="52">
      <c r="A52" s="63"/>
      <c r="B52" s="62"/>
      <c r="C52" s="57" t="s">
        <v>129</v>
      </c>
      <c r="D52" s="58" t="s">
        <v>120</v>
      </c>
      <c r="E52" s="111" t="s">
        <v>205</v>
      </c>
      <c r="F52" s="15"/>
      <c r="G52" s="21"/>
      <c r="H52" s="60" t="str">
        <f t="shared" si="9"/>
        <v>Pass</v>
      </c>
    </row>
    <row r="53">
      <c r="A53" s="63"/>
      <c r="B53" s="62"/>
      <c r="C53" s="57" t="s">
        <v>130</v>
      </c>
      <c r="D53" s="58" t="s">
        <v>126</v>
      </c>
      <c r="E53" s="111" t="s">
        <v>163</v>
      </c>
      <c r="F53" s="15"/>
      <c r="G53" s="21"/>
      <c r="H53" s="60" t="str">
        <f t="shared" si="9"/>
        <v>Pass</v>
      </c>
    </row>
    <row r="54">
      <c r="A54" s="63"/>
      <c r="B54" s="80" t="s">
        <v>347</v>
      </c>
      <c r="C54" s="81"/>
      <c r="D54" s="58" t="s">
        <v>132</v>
      </c>
      <c r="E54" s="59"/>
      <c r="F54" s="15"/>
      <c r="G54" s="21"/>
      <c r="H54" s="82" t="str">
        <f t="shared" ref="H54:H56" si="10">IF(D54="Pass", "Pass", IF(D54="Fail", "Fail", ""))</f>
        <v>Pass</v>
      </c>
    </row>
    <row r="55">
      <c r="A55" s="63"/>
      <c r="B55" s="80" t="s">
        <v>348</v>
      </c>
      <c r="C55" s="69"/>
      <c r="D55" s="58" t="s">
        <v>132</v>
      </c>
      <c r="E55" s="59"/>
      <c r="F55" s="15"/>
      <c r="G55" s="21"/>
      <c r="H55" s="82" t="str">
        <f t="shared" si="10"/>
        <v>Pass</v>
      </c>
    </row>
    <row r="56">
      <c r="A56" s="70"/>
      <c r="B56" s="80" t="s">
        <v>349</v>
      </c>
      <c r="C56" s="21"/>
      <c r="D56" s="58" t="s">
        <v>132</v>
      </c>
      <c r="E56" s="59"/>
      <c r="F56" s="15"/>
      <c r="G56" s="21"/>
      <c r="H56" s="82" t="str">
        <f t="shared" si="10"/>
        <v>Pass</v>
      </c>
    </row>
    <row r="57">
      <c r="A57" s="83" t="s">
        <v>83</v>
      </c>
      <c r="B57" s="15"/>
      <c r="C57" s="21"/>
      <c r="D57" s="84" t="s">
        <v>350</v>
      </c>
      <c r="E57" s="15"/>
      <c r="F57" s="15"/>
      <c r="G57" s="15"/>
      <c r="H57" s="85"/>
    </row>
    <row r="58">
      <c r="A58" s="86" t="s">
        <v>132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351</v>
      </c>
      <c r="B2" s="91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2502313.0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45812.0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352</v>
      </c>
      <c r="B6" s="93"/>
      <c r="C6" s="52" t="s">
        <v>353</v>
      </c>
      <c r="D6" s="53"/>
      <c r="E6" s="84" t="s">
        <v>354</v>
      </c>
      <c r="F6" s="15"/>
      <c r="G6" s="15"/>
      <c r="H6" s="85"/>
    </row>
    <row r="7">
      <c r="A7" s="56" t="s">
        <v>355</v>
      </c>
      <c r="B7" s="56" t="s">
        <v>65</v>
      </c>
      <c r="C7" s="57" t="s">
        <v>119</v>
      </c>
      <c r="D7" s="58" t="s">
        <v>126</v>
      </c>
      <c r="E7" s="111" t="s">
        <v>310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217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123</v>
      </c>
      <c r="E9" s="111" t="s">
        <v>216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123</v>
      </c>
      <c r="E10" s="111" t="s">
        <v>127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126</v>
      </c>
      <c r="E11" s="111" t="s">
        <v>356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126</v>
      </c>
      <c r="E12" s="111" t="s">
        <v>223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123</v>
      </c>
      <c r="E13" s="59"/>
      <c r="F13" s="15"/>
      <c r="G13" s="21"/>
      <c r="H13" s="60" t="str">
        <f t="shared" si="1"/>
        <v>Pass</v>
      </c>
    </row>
    <row r="14">
      <c r="A14" s="63"/>
      <c r="B14" s="64" t="s">
        <v>357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358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359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360</v>
      </c>
      <c r="B17" s="71" t="s">
        <v>65</v>
      </c>
      <c r="C17" s="72" t="s">
        <v>119</v>
      </c>
      <c r="D17" s="73" t="s">
        <v>126</v>
      </c>
      <c r="E17" s="112" t="s">
        <v>184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126</v>
      </c>
      <c r="E18" s="112" t="s">
        <v>242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126</v>
      </c>
      <c r="E19" s="112" t="s">
        <v>361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123</v>
      </c>
      <c r="E20" s="112" t="s">
        <v>127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126</v>
      </c>
      <c r="E21" s="112" t="s">
        <v>356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126</v>
      </c>
      <c r="E22" s="112" t="s">
        <v>362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126</v>
      </c>
      <c r="E23" s="112" t="s">
        <v>363</v>
      </c>
      <c r="F23" s="15"/>
      <c r="G23" s="21"/>
      <c r="H23" s="60" t="str">
        <f t="shared" si="3"/>
        <v>Pass</v>
      </c>
    </row>
    <row r="24">
      <c r="A24" s="63"/>
      <c r="B24" s="76" t="s">
        <v>364</v>
      </c>
      <c r="C24" s="77"/>
      <c r="D24" s="73" t="s">
        <v>132</v>
      </c>
      <c r="E24" s="112" t="s">
        <v>365</v>
      </c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366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367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368</v>
      </c>
      <c r="B27" s="56" t="s">
        <v>65</v>
      </c>
      <c r="C27" s="57" t="s">
        <v>119</v>
      </c>
      <c r="D27" s="58" t="s">
        <v>126</v>
      </c>
      <c r="E27" s="111" t="s">
        <v>369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126</v>
      </c>
      <c r="E28" s="111" t="s">
        <v>242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216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123</v>
      </c>
      <c r="E30" s="59"/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126</v>
      </c>
      <c r="E31" s="111" t="s">
        <v>242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126</v>
      </c>
      <c r="E32" s="111" t="s">
        <v>223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126</v>
      </c>
      <c r="E33" s="111" t="s">
        <v>370</v>
      </c>
      <c r="F33" s="15"/>
      <c r="G33" s="21"/>
      <c r="H33" s="60" t="str">
        <f t="shared" si="5"/>
        <v>Pass</v>
      </c>
    </row>
    <row r="34">
      <c r="A34" s="63"/>
      <c r="B34" s="64" t="s">
        <v>371</v>
      </c>
      <c r="C34" s="81"/>
      <c r="D34" s="58" t="s">
        <v>132</v>
      </c>
      <c r="E34" s="111" t="s">
        <v>365</v>
      </c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372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373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374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375</v>
      </c>
      <c r="B2" s="91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2502432.0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45842.0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376</v>
      </c>
      <c r="B6" s="93"/>
      <c r="C6" s="52" t="s">
        <v>377</v>
      </c>
      <c r="D6" s="53"/>
      <c r="E6" s="84" t="s">
        <v>378</v>
      </c>
      <c r="F6" s="15"/>
      <c r="G6" s="15"/>
      <c r="H6" s="85"/>
    </row>
    <row r="7">
      <c r="A7" s="56" t="s">
        <v>379</v>
      </c>
      <c r="B7" s="56" t="s">
        <v>65</v>
      </c>
      <c r="C7" s="57" t="s">
        <v>119</v>
      </c>
      <c r="D7" s="58" t="s">
        <v>126</v>
      </c>
      <c r="E7" s="111" t="s">
        <v>184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380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126</v>
      </c>
      <c r="E9" s="111" t="s">
        <v>380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120</v>
      </c>
      <c r="E10" s="111" t="s">
        <v>380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123</v>
      </c>
      <c r="E11" s="59"/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126</v>
      </c>
      <c r="E12" s="111" t="s">
        <v>223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123</v>
      </c>
      <c r="E13" s="59"/>
      <c r="F13" s="15"/>
      <c r="G13" s="21"/>
      <c r="H13" s="60" t="str">
        <f t="shared" si="1"/>
        <v>Pass</v>
      </c>
    </row>
    <row r="14">
      <c r="A14" s="63"/>
      <c r="B14" s="64" t="s">
        <v>381</v>
      </c>
      <c r="C14" s="65"/>
      <c r="D14" s="58" t="s">
        <v>132</v>
      </c>
      <c r="E14" s="111" t="s">
        <v>382</v>
      </c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383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384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385</v>
      </c>
      <c r="B17" s="71" t="s">
        <v>65</v>
      </c>
      <c r="C17" s="72" t="s">
        <v>119</v>
      </c>
      <c r="D17" s="73" t="s">
        <v>123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126</v>
      </c>
      <c r="E18" s="112" t="s">
        <v>217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126</v>
      </c>
      <c r="E19" s="112" t="s">
        <v>332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120</v>
      </c>
      <c r="E20" s="112" t="s">
        <v>332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126</v>
      </c>
      <c r="E21" s="112" t="s">
        <v>332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126</v>
      </c>
      <c r="E22" s="112" t="s">
        <v>217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123</v>
      </c>
      <c r="E23" s="49"/>
      <c r="F23" s="15"/>
      <c r="G23" s="21"/>
      <c r="H23" s="60" t="str">
        <f t="shared" si="3"/>
        <v>Pass</v>
      </c>
    </row>
    <row r="24">
      <c r="A24" s="63"/>
      <c r="B24" s="76" t="s">
        <v>386</v>
      </c>
      <c r="C24" s="77"/>
      <c r="D24" s="73" t="s">
        <v>132</v>
      </c>
      <c r="E24" s="112" t="s">
        <v>382</v>
      </c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387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388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389</v>
      </c>
      <c r="B27" s="56" t="s">
        <v>65</v>
      </c>
      <c r="C27" s="57" t="s">
        <v>119</v>
      </c>
      <c r="D27" s="58" t="s">
        <v>126</v>
      </c>
      <c r="E27" s="111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126</v>
      </c>
      <c r="E28" s="111" t="s">
        <v>223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123</v>
      </c>
      <c r="E29" s="111"/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123</v>
      </c>
      <c r="E30" s="111" t="s">
        <v>233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126</v>
      </c>
      <c r="E31" s="111" t="s">
        <v>233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126</v>
      </c>
      <c r="E32" s="111" t="s">
        <v>223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126</v>
      </c>
      <c r="E33" s="111" t="s">
        <v>390</v>
      </c>
      <c r="F33" s="15"/>
      <c r="G33" s="21"/>
      <c r="H33" s="60" t="str">
        <f t="shared" si="5"/>
        <v>Pass</v>
      </c>
    </row>
    <row r="34">
      <c r="A34" s="63"/>
      <c r="B34" s="64" t="s">
        <v>391</v>
      </c>
      <c r="C34" s="81"/>
      <c r="D34" s="58" t="s">
        <v>132</v>
      </c>
      <c r="E34" s="111" t="s">
        <v>382</v>
      </c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392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393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394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112" t="s">
        <v>395</v>
      </c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396</v>
      </c>
      <c r="B2" s="91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2502694.0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45842.0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397</v>
      </c>
      <c r="B6" s="93"/>
      <c r="C6" s="52" t="s">
        <v>398</v>
      </c>
      <c r="D6" s="53"/>
      <c r="E6" s="84" t="s">
        <v>399</v>
      </c>
      <c r="F6" s="15"/>
      <c r="G6" s="15"/>
      <c r="H6" s="85"/>
    </row>
    <row r="7">
      <c r="A7" s="56" t="s">
        <v>400</v>
      </c>
      <c r="B7" s="56" t="s">
        <v>65</v>
      </c>
      <c r="C7" s="57" t="s">
        <v>119</v>
      </c>
      <c r="D7" s="58" t="s">
        <v>126</v>
      </c>
      <c r="E7" s="111" t="s">
        <v>184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217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126</v>
      </c>
      <c r="E9" s="111" t="s">
        <v>401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161</v>
      </c>
      <c r="E10" s="111" t="s">
        <v>402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126</v>
      </c>
      <c r="E11" s="111" t="s">
        <v>233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120</v>
      </c>
      <c r="E12" s="111" t="s">
        <v>380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123</v>
      </c>
      <c r="E13" s="111"/>
      <c r="F13" s="15"/>
      <c r="G13" s="21"/>
      <c r="H13" s="60" t="str">
        <f t="shared" si="1"/>
        <v>Pass</v>
      </c>
    </row>
    <row r="14">
      <c r="A14" s="63"/>
      <c r="B14" s="64" t="s">
        <v>403</v>
      </c>
      <c r="C14" s="65"/>
      <c r="D14" s="58" t="s">
        <v>132</v>
      </c>
      <c r="E14" s="111" t="s">
        <v>382</v>
      </c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404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405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406</v>
      </c>
      <c r="B17" s="71" t="s">
        <v>65</v>
      </c>
      <c r="C17" s="72" t="s">
        <v>119</v>
      </c>
      <c r="D17" s="73" t="s">
        <v>126</v>
      </c>
      <c r="E17" s="112" t="s">
        <v>184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123</v>
      </c>
      <c r="E18" s="49"/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123</v>
      </c>
      <c r="E19" s="49"/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126</v>
      </c>
      <c r="E20" s="112" t="s">
        <v>407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126</v>
      </c>
      <c r="E21" s="112" t="s">
        <v>233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126</v>
      </c>
      <c r="E22" s="112" t="s">
        <v>380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126</v>
      </c>
      <c r="H23" s="60" t="str">
        <f t="shared" si="3"/>
        <v>Pass</v>
      </c>
    </row>
    <row r="24">
      <c r="A24" s="63"/>
      <c r="B24" s="76" t="s">
        <v>408</v>
      </c>
      <c r="C24" s="77"/>
      <c r="D24" s="73" t="s">
        <v>132</v>
      </c>
      <c r="E24" s="112" t="s">
        <v>382</v>
      </c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409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410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411</v>
      </c>
      <c r="B27" s="56" t="s">
        <v>65</v>
      </c>
      <c r="C27" s="57" t="s">
        <v>119</v>
      </c>
      <c r="D27" s="58" t="s">
        <v>123</v>
      </c>
      <c r="E27" s="59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126</v>
      </c>
      <c r="E28" s="111" t="s">
        <v>412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233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126</v>
      </c>
      <c r="E30" s="111" t="s">
        <v>233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126</v>
      </c>
      <c r="E31" s="111" t="s">
        <v>233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126</v>
      </c>
      <c r="E32" s="111" t="s">
        <v>223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123</v>
      </c>
      <c r="E33" s="59"/>
      <c r="F33" s="15"/>
      <c r="G33" s="21"/>
      <c r="H33" s="60" t="str">
        <f t="shared" si="5"/>
        <v>Pass</v>
      </c>
    </row>
    <row r="34">
      <c r="A34" s="63"/>
      <c r="B34" s="64" t="s">
        <v>413</v>
      </c>
      <c r="C34" s="81"/>
      <c r="D34" s="58" t="s">
        <v>132</v>
      </c>
      <c r="E34" s="111" t="s">
        <v>382</v>
      </c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414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415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416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5">
    <mergeCell ref="A1:H1"/>
    <mergeCell ref="B2:D2"/>
    <mergeCell ref="B3:D3"/>
    <mergeCell ref="A4:D4"/>
    <mergeCell ref="A5:D5"/>
    <mergeCell ref="E6:G6"/>
    <mergeCell ref="A8:A16"/>
    <mergeCell ref="A18:A26"/>
    <mergeCell ref="A28:A36"/>
    <mergeCell ref="E13:G13"/>
    <mergeCell ref="E14:G14"/>
    <mergeCell ref="E15:G15"/>
    <mergeCell ref="E16:G16"/>
    <mergeCell ref="E17:G17"/>
    <mergeCell ref="E22:G22"/>
    <mergeCell ref="E26:G26"/>
    <mergeCell ref="E34:G34"/>
    <mergeCell ref="E35:G35"/>
    <mergeCell ref="A37:C37"/>
    <mergeCell ref="D37:G37"/>
    <mergeCell ref="A38:C38"/>
    <mergeCell ref="D38:H38"/>
    <mergeCell ref="E28:G28"/>
    <mergeCell ref="E29:G29"/>
    <mergeCell ref="E30:G30"/>
    <mergeCell ref="E31:G31"/>
    <mergeCell ref="E32:G32"/>
    <mergeCell ref="E33:G33"/>
    <mergeCell ref="C34:C36"/>
    <mergeCell ref="E36:G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C14:C16"/>
    <mergeCell ref="C24:C26"/>
    <mergeCell ref="E24:G24"/>
    <mergeCell ref="E25:G25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417</v>
      </c>
      <c r="B2" s="91" t="s">
        <v>113</v>
      </c>
      <c r="C2" s="15"/>
      <c r="D2" s="21"/>
      <c r="E2" s="42" t="s">
        <v>53</v>
      </c>
      <c r="F2" s="100" t="s">
        <v>36</v>
      </c>
      <c r="G2" s="42" t="s">
        <v>54</v>
      </c>
      <c r="H2" s="106" t="s">
        <v>38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2502752.0</v>
      </c>
    </row>
    <row r="4">
      <c r="A4" s="92"/>
      <c r="B4" s="15"/>
      <c r="C4" s="15"/>
      <c r="D4" s="21"/>
      <c r="E4" s="42" t="s">
        <v>58</v>
      </c>
      <c r="F4" s="100" t="s">
        <v>37</v>
      </c>
      <c r="G4" s="42" t="s">
        <v>59</v>
      </c>
      <c r="H4" s="109">
        <v>45891.0</v>
      </c>
    </row>
    <row r="5">
      <c r="A5" s="92"/>
      <c r="B5" s="15"/>
      <c r="C5" s="15"/>
      <c r="D5" s="21"/>
      <c r="E5" s="42" t="s">
        <v>60</v>
      </c>
      <c r="F5" s="50"/>
      <c r="G5" s="51" t="s">
        <v>86</v>
      </c>
      <c r="H5" s="108">
        <v>3.0</v>
      </c>
    </row>
    <row r="6">
      <c r="A6" s="93" t="s">
        <v>418</v>
      </c>
      <c r="B6" s="93"/>
      <c r="C6" s="52" t="s">
        <v>419</v>
      </c>
      <c r="D6" s="53"/>
      <c r="E6" s="84" t="s">
        <v>420</v>
      </c>
      <c r="F6" s="15"/>
      <c r="G6" s="15"/>
      <c r="H6" s="85"/>
    </row>
    <row r="7">
      <c r="A7" s="56" t="s">
        <v>421</v>
      </c>
      <c r="B7" s="56" t="s">
        <v>65</v>
      </c>
      <c r="C7" s="57" t="s">
        <v>119</v>
      </c>
      <c r="D7" s="58" t="s">
        <v>126</v>
      </c>
      <c r="E7" s="111" t="s">
        <v>205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184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120</v>
      </c>
      <c r="E9" s="111" t="s">
        <v>217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126</v>
      </c>
      <c r="E10" s="111" t="s">
        <v>422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126</v>
      </c>
      <c r="E11" s="111" t="s">
        <v>325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120</v>
      </c>
      <c r="E12" s="111" t="s">
        <v>205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126</v>
      </c>
      <c r="E13" s="111" t="s">
        <v>423</v>
      </c>
      <c r="F13" s="15"/>
      <c r="G13" s="21"/>
      <c r="H13" s="60" t="str">
        <f t="shared" si="1"/>
        <v>Pass</v>
      </c>
    </row>
    <row r="14">
      <c r="A14" s="63"/>
      <c r="B14" s="64" t="s">
        <v>424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425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426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427</v>
      </c>
      <c r="B17" s="71" t="s">
        <v>65</v>
      </c>
      <c r="C17" s="72" t="s">
        <v>119</v>
      </c>
      <c r="D17" s="73" t="s">
        <v>126</v>
      </c>
      <c r="E17" s="112" t="s">
        <v>205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126</v>
      </c>
      <c r="E18" s="112" t="s">
        <v>184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120</v>
      </c>
      <c r="E19" s="112" t="s">
        <v>217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126</v>
      </c>
      <c r="E20" s="112" t="s">
        <v>380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126</v>
      </c>
      <c r="E21" s="112" t="s">
        <v>325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120</v>
      </c>
      <c r="E22" s="112" t="s">
        <v>205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126</v>
      </c>
      <c r="E23" s="112" t="s">
        <v>423</v>
      </c>
      <c r="F23" s="15"/>
      <c r="G23" s="21"/>
      <c r="H23" s="60" t="str">
        <f t="shared" si="3"/>
        <v>Pass</v>
      </c>
    </row>
    <row r="24">
      <c r="A24" s="63"/>
      <c r="B24" s="76" t="s">
        <v>428</v>
      </c>
      <c r="C24" s="77"/>
      <c r="D24" s="73" t="s">
        <v>132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429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430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431</v>
      </c>
      <c r="B27" s="56" t="s">
        <v>65</v>
      </c>
      <c r="C27" s="57" t="s">
        <v>119</v>
      </c>
      <c r="D27" s="58" t="s">
        <v>120</v>
      </c>
      <c r="E27" s="111" t="s">
        <v>205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120</v>
      </c>
      <c r="E28" s="111" t="s">
        <v>184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412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126</v>
      </c>
      <c r="E30" s="111" t="s">
        <v>432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126</v>
      </c>
      <c r="E31" s="111" t="s">
        <v>233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120</v>
      </c>
      <c r="E32" s="111" t="s">
        <v>205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123</v>
      </c>
      <c r="E33" s="111" t="s">
        <v>163</v>
      </c>
      <c r="F33" s="15"/>
      <c r="G33" s="21"/>
      <c r="H33" s="60" t="str">
        <f t="shared" si="5"/>
        <v>Pass</v>
      </c>
    </row>
    <row r="34">
      <c r="A34" s="63"/>
      <c r="B34" s="64" t="s">
        <v>433</v>
      </c>
      <c r="C34" s="81"/>
      <c r="D34" s="58" t="s">
        <v>132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434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435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436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437</v>
      </c>
      <c r="B2" s="105" t="s">
        <v>113</v>
      </c>
      <c r="C2" s="15"/>
      <c r="D2" s="21"/>
      <c r="E2" s="42" t="s">
        <v>53</v>
      </c>
      <c r="F2" s="100" t="s">
        <v>45</v>
      </c>
      <c r="G2" s="42" t="s">
        <v>54</v>
      </c>
      <c r="H2" s="106" t="s">
        <v>37</v>
      </c>
    </row>
    <row r="3">
      <c r="A3" s="45" t="s">
        <v>55</v>
      </c>
      <c r="B3" s="46" t="s">
        <v>22</v>
      </c>
      <c r="C3" s="15"/>
      <c r="D3" s="21"/>
      <c r="E3" s="47" t="s">
        <v>56</v>
      </c>
      <c r="F3" s="107" t="s">
        <v>438</v>
      </c>
      <c r="G3" s="42" t="s">
        <v>57</v>
      </c>
      <c r="H3" s="108">
        <v>2600854.0</v>
      </c>
    </row>
    <row r="4">
      <c r="A4" s="49"/>
      <c r="B4" s="15"/>
      <c r="C4" s="15"/>
      <c r="D4" s="21"/>
      <c r="E4" s="42" t="s">
        <v>58</v>
      </c>
      <c r="F4" s="100" t="s">
        <v>37</v>
      </c>
      <c r="G4" s="42" t="s">
        <v>59</v>
      </c>
      <c r="H4" s="109">
        <v>45942.0</v>
      </c>
    </row>
    <row r="5">
      <c r="A5" s="49"/>
      <c r="B5" s="15"/>
      <c r="C5" s="15"/>
      <c r="D5" s="21"/>
      <c r="E5" s="42" t="s">
        <v>60</v>
      </c>
      <c r="F5" s="50"/>
      <c r="G5" s="51" t="s">
        <v>61</v>
      </c>
      <c r="H5" s="108">
        <v>5.0</v>
      </c>
    </row>
    <row r="6">
      <c r="A6" s="52" t="s">
        <v>439</v>
      </c>
      <c r="B6" s="52"/>
      <c r="C6" s="52" t="s">
        <v>440</v>
      </c>
      <c r="D6" s="53"/>
      <c r="E6" s="54" t="s">
        <v>441</v>
      </c>
      <c r="F6" s="39"/>
      <c r="G6" s="13"/>
      <c r="H6" s="55"/>
    </row>
    <row r="7">
      <c r="A7" s="56" t="s">
        <v>442</v>
      </c>
      <c r="B7" s="56" t="s">
        <v>65</v>
      </c>
      <c r="C7" s="57" t="s">
        <v>443</v>
      </c>
      <c r="D7" s="58" t="s">
        <v>123</v>
      </c>
      <c r="E7" s="111" t="s">
        <v>444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1"/>
      <c r="B8" s="62"/>
      <c r="C8" s="57" t="s">
        <v>445</v>
      </c>
      <c r="D8" s="58" t="s">
        <v>123</v>
      </c>
      <c r="E8" s="111" t="s">
        <v>446</v>
      </c>
      <c r="F8" s="15"/>
      <c r="G8" s="21"/>
      <c r="H8" s="60" t="str">
        <f t="shared" si="1"/>
        <v>Pass</v>
      </c>
    </row>
    <row r="9">
      <c r="A9" s="63"/>
      <c r="B9" s="62"/>
      <c r="C9" s="57" t="s">
        <v>447</v>
      </c>
      <c r="D9" s="58" t="s">
        <v>126</v>
      </c>
      <c r="E9" s="111" t="s">
        <v>446</v>
      </c>
      <c r="F9" s="15"/>
      <c r="G9" s="21"/>
      <c r="H9" s="60" t="str">
        <f t="shared" si="1"/>
        <v>Pass</v>
      </c>
    </row>
    <row r="10">
      <c r="A10" s="63"/>
      <c r="B10" s="62"/>
      <c r="C10" s="57" t="s">
        <v>448</v>
      </c>
      <c r="D10" s="58" t="s">
        <v>126</v>
      </c>
      <c r="E10" s="111" t="s">
        <v>223</v>
      </c>
      <c r="F10" s="15"/>
      <c r="G10" s="21"/>
      <c r="H10" s="60" t="str">
        <f t="shared" si="1"/>
        <v>Pass</v>
      </c>
    </row>
    <row r="11">
      <c r="A11" s="63"/>
      <c r="B11" s="62"/>
      <c r="C11" s="57" t="s">
        <v>449</v>
      </c>
      <c r="D11" s="58" t="s">
        <v>120</v>
      </c>
      <c r="E11" s="111" t="s">
        <v>401</v>
      </c>
      <c r="F11" s="15"/>
      <c r="G11" s="21"/>
      <c r="H11" s="60" t="str">
        <f t="shared" si="1"/>
        <v>Pass</v>
      </c>
    </row>
    <row r="12">
      <c r="A12" s="63"/>
      <c r="B12" s="62"/>
      <c r="C12" s="57" t="s">
        <v>450</v>
      </c>
      <c r="D12" s="58" t="s">
        <v>126</v>
      </c>
      <c r="E12" s="111" t="s">
        <v>217</v>
      </c>
      <c r="F12" s="15"/>
      <c r="G12" s="21"/>
      <c r="H12" s="60" t="str">
        <f t="shared" si="1"/>
        <v>Pass</v>
      </c>
    </row>
    <row r="13">
      <c r="A13" s="63"/>
      <c r="B13" s="62"/>
      <c r="C13" s="57" t="s">
        <v>451</v>
      </c>
      <c r="D13" s="58" t="s">
        <v>120</v>
      </c>
      <c r="E13" s="111" t="s">
        <v>423</v>
      </c>
      <c r="F13" s="15"/>
      <c r="G13" s="21"/>
      <c r="H13" s="60" t="str">
        <f t="shared" si="1"/>
        <v>Pass</v>
      </c>
    </row>
    <row r="14">
      <c r="A14" s="63"/>
      <c r="B14" s="64" t="s">
        <v>452</v>
      </c>
      <c r="C14" s="65"/>
      <c r="D14" s="97" t="s">
        <v>132</v>
      </c>
      <c r="E14" s="59"/>
      <c r="F14" s="15"/>
      <c r="G14" s="21"/>
      <c r="H14" s="6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453</v>
      </c>
      <c r="C15" s="69"/>
      <c r="D15" s="97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454</v>
      </c>
      <c r="C16" s="21"/>
      <c r="D16" s="97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455</v>
      </c>
      <c r="B17" s="71" t="s">
        <v>70</v>
      </c>
      <c r="C17" s="72" t="s">
        <v>443</v>
      </c>
      <c r="D17" s="73" t="s">
        <v>123</v>
      </c>
      <c r="E17" s="112" t="s">
        <v>184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4"/>
      <c r="B18" s="75"/>
      <c r="C18" s="72" t="s">
        <v>445</v>
      </c>
      <c r="D18" s="73" t="s">
        <v>126</v>
      </c>
      <c r="E18" s="112" t="s">
        <v>390</v>
      </c>
      <c r="F18" s="15"/>
      <c r="G18" s="21"/>
      <c r="H18" s="60" t="str">
        <f t="shared" si="3"/>
        <v>Pass</v>
      </c>
    </row>
    <row r="19">
      <c r="A19" s="63"/>
      <c r="B19" s="75"/>
      <c r="C19" s="72" t="s">
        <v>447</v>
      </c>
      <c r="D19" s="73" t="s">
        <v>126</v>
      </c>
      <c r="E19" s="112" t="s">
        <v>380</v>
      </c>
      <c r="F19" s="15"/>
      <c r="G19" s="21"/>
      <c r="H19" s="60" t="str">
        <f t="shared" si="3"/>
        <v>Pass</v>
      </c>
    </row>
    <row r="20">
      <c r="A20" s="63"/>
      <c r="B20" s="75"/>
      <c r="C20" s="72" t="s">
        <v>448</v>
      </c>
      <c r="D20" s="73" t="s">
        <v>123</v>
      </c>
      <c r="E20" s="112" t="s">
        <v>223</v>
      </c>
      <c r="F20" s="15"/>
      <c r="G20" s="21"/>
      <c r="H20" s="60" t="str">
        <f t="shared" si="3"/>
        <v>Pass</v>
      </c>
    </row>
    <row r="21">
      <c r="A21" s="63"/>
      <c r="B21" s="75"/>
      <c r="C21" s="72" t="s">
        <v>449</v>
      </c>
      <c r="D21" s="73" t="s">
        <v>120</v>
      </c>
      <c r="E21" s="112" t="s">
        <v>456</v>
      </c>
      <c r="F21" s="15"/>
      <c r="G21" s="21"/>
      <c r="H21" s="60" t="str">
        <f t="shared" si="3"/>
        <v>Pass</v>
      </c>
    </row>
    <row r="22">
      <c r="A22" s="63"/>
      <c r="B22" s="75"/>
      <c r="C22" s="72" t="s">
        <v>450</v>
      </c>
      <c r="D22" s="73" t="s">
        <v>126</v>
      </c>
      <c r="E22" s="112" t="s">
        <v>217</v>
      </c>
      <c r="F22" s="15"/>
      <c r="G22" s="21"/>
      <c r="H22" s="60" t="str">
        <f t="shared" si="3"/>
        <v>Pass</v>
      </c>
    </row>
    <row r="23">
      <c r="A23" s="63"/>
      <c r="B23" s="75"/>
      <c r="C23" s="72" t="s">
        <v>451</v>
      </c>
      <c r="D23" s="73" t="s">
        <v>126</v>
      </c>
      <c r="E23" s="112" t="s">
        <v>423</v>
      </c>
      <c r="F23" s="15"/>
      <c r="G23" s="21"/>
      <c r="H23" s="60" t="str">
        <f t="shared" si="3"/>
        <v>Pass</v>
      </c>
    </row>
    <row r="24">
      <c r="A24" s="63"/>
      <c r="B24" s="76" t="s">
        <v>457</v>
      </c>
      <c r="C24" s="77"/>
      <c r="D24" s="113" t="s">
        <v>132</v>
      </c>
      <c r="E24" s="49"/>
      <c r="F24" s="15"/>
      <c r="G24" s="21"/>
      <c r="H24" s="6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458</v>
      </c>
      <c r="C25" s="69"/>
      <c r="D25" s="11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459</v>
      </c>
      <c r="C26" s="21"/>
      <c r="D26" s="11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460</v>
      </c>
      <c r="B27" s="56" t="s">
        <v>70</v>
      </c>
      <c r="C27" s="57" t="s">
        <v>443</v>
      </c>
      <c r="D27" s="58" t="s">
        <v>123</v>
      </c>
      <c r="E27" s="111" t="s">
        <v>444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1"/>
      <c r="B28" s="62"/>
      <c r="C28" s="57" t="s">
        <v>445</v>
      </c>
      <c r="D28" s="58" t="s">
        <v>126</v>
      </c>
      <c r="E28" s="111" t="s">
        <v>223</v>
      </c>
      <c r="F28" s="15"/>
      <c r="G28" s="21"/>
      <c r="H28" s="60" t="str">
        <f t="shared" si="5"/>
        <v>Pass</v>
      </c>
    </row>
    <row r="29">
      <c r="A29" s="63"/>
      <c r="B29" s="62"/>
      <c r="C29" s="57" t="s">
        <v>447</v>
      </c>
      <c r="D29" s="58" t="s">
        <v>123</v>
      </c>
      <c r="E29" s="111" t="s">
        <v>184</v>
      </c>
      <c r="F29" s="15"/>
      <c r="G29" s="21"/>
      <c r="H29" s="60" t="str">
        <f t="shared" si="5"/>
        <v>Pass</v>
      </c>
    </row>
    <row r="30">
      <c r="A30" s="63"/>
      <c r="B30" s="62"/>
      <c r="C30" s="57" t="s">
        <v>448</v>
      </c>
      <c r="D30" s="58" t="s">
        <v>126</v>
      </c>
      <c r="E30" s="111" t="s">
        <v>223</v>
      </c>
      <c r="F30" s="15"/>
      <c r="G30" s="21"/>
      <c r="H30" s="60" t="str">
        <f t="shared" si="5"/>
        <v>Pass</v>
      </c>
    </row>
    <row r="31">
      <c r="A31" s="63"/>
      <c r="B31" s="62"/>
      <c r="C31" s="57" t="s">
        <v>449</v>
      </c>
      <c r="D31" s="58" t="s">
        <v>120</v>
      </c>
      <c r="E31" s="111" t="s">
        <v>401</v>
      </c>
      <c r="F31" s="15"/>
      <c r="G31" s="21"/>
      <c r="H31" s="60" t="str">
        <f t="shared" si="5"/>
        <v>Pass</v>
      </c>
    </row>
    <row r="32">
      <c r="A32" s="63"/>
      <c r="B32" s="62"/>
      <c r="C32" s="57" t="s">
        <v>450</v>
      </c>
      <c r="D32" s="58" t="s">
        <v>126</v>
      </c>
      <c r="E32" s="111" t="s">
        <v>217</v>
      </c>
      <c r="F32" s="15"/>
      <c r="G32" s="21"/>
      <c r="H32" s="60" t="str">
        <f t="shared" si="5"/>
        <v>Pass</v>
      </c>
    </row>
    <row r="33">
      <c r="A33" s="63"/>
      <c r="B33" s="62"/>
      <c r="C33" s="57" t="s">
        <v>451</v>
      </c>
      <c r="D33" s="58" t="s">
        <v>126</v>
      </c>
      <c r="E33" s="111" t="s">
        <v>423</v>
      </c>
      <c r="F33" s="15"/>
      <c r="G33" s="21"/>
      <c r="H33" s="60" t="str">
        <f t="shared" si="5"/>
        <v>Pass</v>
      </c>
    </row>
    <row r="34">
      <c r="A34" s="63"/>
      <c r="B34" s="64" t="s">
        <v>461</v>
      </c>
      <c r="C34" s="65"/>
      <c r="D34" s="97" t="s">
        <v>132</v>
      </c>
      <c r="E34" s="59"/>
      <c r="F34" s="15"/>
      <c r="G34" s="21"/>
      <c r="H34" s="6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462</v>
      </c>
      <c r="C35" s="69"/>
      <c r="D35" s="97" t="s">
        <v>132</v>
      </c>
      <c r="E35" s="59"/>
      <c r="F35" s="15"/>
      <c r="G35" s="21"/>
      <c r="H35" s="6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463</v>
      </c>
      <c r="C36" s="21"/>
      <c r="D36" s="97" t="s">
        <v>132</v>
      </c>
      <c r="E36" s="59"/>
      <c r="F36" s="15"/>
      <c r="G36" s="21"/>
      <c r="H36" s="6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 t="s">
        <v>464</v>
      </c>
      <c r="B37" s="71" t="s">
        <v>70</v>
      </c>
      <c r="C37" s="72" t="s">
        <v>443</v>
      </c>
      <c r="D37" s="73" t="s">
        <v>123</v>
      </c>
      <c r="E37" s="112" t="s">
        <v>184</v>
      </c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74"/>
      <c r="B38" s="75"/>
      <c r="C38" s="72" t="s">
        <v>445</v>
      </c>
      <c r="D38" s="73" t="s">
        <v>123</v>
      </c>
      <c r="E38" s="112" t="s">
        <v>223</v>
      </c>
      <c r="F38" s="15"/>
      <c r="G38" s="21"/>
      <c r="H38" s="60" t="str">
        <f t="shared" si="7"/>
        <v>Pass</v>
      </c>
    </row>
    <row r="39">
      <c r="A39" s="63"/>
      <c r="B39" s="75"/>
      <c r="C39" s="72" t="s">
        <v>447</v>
      </c>
      <c r="D39" s="73" t="s">
        <v>126</v>
      </c>
      <c r="E39" s="112" t="s">
        <v>380</v>
      </c>
      <c r="F39" s="15"/>
      <c r="G39" s="21"/>
      <c r="H39" s="60" t="str">
        <f t="shared" si="7"/>
        <v>Pass</v>
      </c>
    </row>
    <row r="40">
      <c r="A40" s="63"/>
      <c r="B40" s="75"/>
      <c r="C40" s="72" t="s">
        <v>448</v>
      </c>
      <c r="D40" s="73" t="s">
        <v>126</v>
      </c>
      <c r="E40" s="112" t="s">
        <v>423</v>
      </c>
      <c r="F40" s="15"/>
      <c r="G40" s="21"/>
      <c r="H40" s="60" t="str">
        <f t="shared" si="7"/>
        <v>Pass</v>
      </c>
    </row>
    <row r="41">
      <c r="A41" s="63"/>
      <c r="B41" s="75"/>
      <c r="C41" s="72" t="s">
        <v>449</v>
      </c>
      <c r="D41" s="73" t="s">
        <v>126</v>
      </c>
      <c r="E41" s="112" t="s">
        <v>401</v>
      </c>
      <c r="F41" s="15"/>
      <c r="G41" s="21"/>
      <c r="H41" s="60" t="str">
        <f t="shared" si="7"/>
        <v>Pass</v>
      </c>
    </row>
    <row r="42">
      <c r="A42" s="63"/>
      <c r="B42" s="75"/>
      <c r="C42" s="72" t="s">
        <v>450</v>
      </c>
      <c r="D42" s="73" t="s">
        <v>126</v>
      </c>
      <c r="E42" s="112" t="s">
        <v>217</v>
      </c>
      <c r="F42" s="15"/>
      <c r="G42" s="21"/>
      <c r="H42" s="60" t="str">
        <f t="shared" si="7"/>
        <v>Pass</v>
      </c>
    </row>
    <row r="43">
      <c r="A43" s="63"/>
      <c r="B43" s="75"/>
      <c r="C43" s="72" t="s">
        <v>451</v>
      </c>
      <c r="D43" s="73" t="s">
        <v>126</v>
      </c>
      <c r="E43" s="112" t="s">
        <v>423</v>
      </c>
      <c r="F43" s="15"/>
      <c r="G43" s="21"/>
      <c r="H43" s="60" t="str">
        <f t="shared" si="7"/>
        <v>Pass</v>
      </c>
    </row>
    <row r="44">
      <c r="A44" s="63"/>
      <c r="B44" s="76" t="s">
        <v>465</v>
      </c>
      <c r="C44" s="77"/>
      <c r="D44" s="113" t="s">
        <v>132</v>
      </c>
      <c r="E44" s="49"/>
      <c r="F44" s="15"/>
      <c r="G44" s="21"/>
      <c r="H44" s="6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466</v>
      </c>
      <c r="C45" s="69"/>
      <c r="D45" s="113" t="s">
        <v>132</v>
      </c>
      <c r="E45" s="49"/>
      <c r="F45" s="15"/>
      <c r="G45" s="21"/>
      <c r="H45" s="6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467</v>
      </c>
      <c r="C46" s="21"/>
      <c r="D46" s="113" t="s">
        <v>132</v>
      </c>
      <c r="E46" s="49"/>
      <c r="F46" s="15"/>
      <c r="G46" s="21"/>
      <c r="H46" s="6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 t="s">
        <v>468</v>
      </c>
      <c r="B47" s="56" t="s">
        <v>70</v>
      </c>
      <c r="C47" s="57" t="s">
        <v>443</v>
      </c>
      <c r="D47" s="58" t="s">
        <v>123</v>
      </c>
      <c r="E47" s="111" t="s">
        <v>184</v>
      </c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61"/>
      <c r="B48" s="62"/>
      <c r="C48" s="57" t="s">
        <v>445</v>
      </c>
      <c r="D48" s="58" t="s">
        <v>126</v>
      </c>
      <c r="E48" s="111" t="s">
        <v>223</v>
      </c>
      <c r="F48" s="15"/>
      <c r="G48" s="21"/>
      <c r="H48" s="60" t="str">
        <f t="shared" si="9"/>
        <v>Pass</v>
      </c>
    </row>
    <row r="49">
      <c r="A49" s="63"/>
      <c r="B49" s="62"/>
      <c r="C49" s="57" t="s">
        <v>447</v>
      </c>
      <c r="D49" s="58" t="s">
        <v>126</v>
      </c>
      <c r="E49" s="111" t="s">
        <v>380</v>
      </c>
      <c r="F49" s="15"/>
      <c r="G49" s="21"/>
      <c r="H49" s="60" t="str">
        <f t="shared" si="9"/>
        <v>Pass</v>
      </c>
    </row>
    <row r="50">
      <c r="A50" s="63"/>
      <c r="B50" s="62"/>
      <c r="C50" s="57" t="s">
        <v>448</v>
      </c>
      <c r="D50" s="58" t="s">
        <v>120</v>
      </c>
      <c r="E50" s="111" t="s">
        <v>390</v>
      </c>
      <c r="F50" s="15"/>
      <c r="G50" s="21"/>
      <c r="H50" s="60" t="str">
        <f t="shared" si="9"/>
        <v>Pass</v>
      </c>
    </row>
    <row r="51">
      <c r="A51" s="63"/>
      <c r="B51" s="62"/>
      <c r="C51" s="57" t="s">
        <v>449</v>
      </c>
      <c r="D51" s="58" t="s">
        <v>120</v>
      </c>
      <c r="E51" s="111" t="s">
        <v>401</v>
      </c>
      <c r="F51" s="15"/>
      <c r="G51" s="21"/>
      <c r="H51" s="60" t="str">
        <f t="shared" si="9"/>
        <v>Pass</v>
      </c>
    </row>
    <row r="52">
      <c r="A52" s="63"/>
      <c r="B52" s="62"/>
      <c r="C52" s="57" t="s">
        <v>450</v>
      </c>
      <c r="D52" s="58" t="s">
        <v>120</v>
      </c>
      <c r="E52" s="111" t="s">
        <v>401</v>
      </c>
      <c r="F52" s="15"/>
      <c r="G52" s="21"/>
      <c r="H52" s="60" t="str">
        <f t="shared" si="9"/>
        <v>Pass</v>
      </c>
    </row>
    <row r="53">
      <c r="A53" s="63"/>
      <c r="B53" s="62"/>
      <c r="C53" s="57" t="s">
        <v>451</v>
      </c>
      <c r="D53" s="58" t="s">
        <v>126</v>
      </c>
      <c r="E53" s="111" t="s">
        <v>423</v>
      </c>
      <c r="F53" s="15"/>
      <c r="G53" s="21"/>
      <c r="H53" s="60" t="str">
        <f t="shared" si="9"/>
        <v>Pass</v>
      </c>
    </row>
    <row r="54">
      <c r="A54" s="63"/>
      <c r="B54" s="80" t="s">
        <v>469</v>
      </c>
      <c r="C54" s="81"/>
      <c r="D54" s="58" t="s">
        <v>132</v>
      </c>
      <c r="E54" s="59"/>
      <c r="F54" s="15"/>
      <c r="G54" s="21"/>
      <c r="H54" s="82" t="str">
        <f t="shared" ref="H54:H56" si="10">IF(D54="Pass", "Pass", IF(D54="Fail", "Fail", ""))</f>
        <v>Pass</v>
      </c>
    </row>
    <row r="55">
      <c r="A55" s="63"/>
      <c r="B55" s="80" t="s">
        <v>470</v>
      </c>
      <c r="C55" s="69"/>
      <c r="D55" s="58" t="s">
        <v>132</v>
      </c>
      <c r="E55" s="59"/>
      <c r="F55" s="15"/>
      <c r="G55" s="21"/>
      <c r="H55" s="82" t="str">
        <f t="shared" si="10"/>
        <v>Pass</v>
      </c>
    </row>
    <row r="56">
      <c r="A56" s="70"/>
      <c r="B56" s="80" t="s">
        <v>471</v>
      </c>
      <c r="C56" s="21"/>
      <c r="D56" s="58" t="s">
        <v>132</v>
      </c>
      <c r="E56" s="59"/>
      <c r="F56" s="15"/>
      <c r="G56" s="21"/>
      <c r="H56" s="82" t="str">
        <f t="shared" si="10"/>
        <v>Pass</v>
      </c>
    </row>
    <row r="57">
      <c r="A57" s="83" t="s">
        <v>83</v>
      </c>
      <c r="B57" s="15"/>
      <c r="C57" s="21"/>
      <c r="D57" s="84" t="s">
        <v>472</v>
      </c>
      <c r="E57" s="15"/>
      <c r="F57" s="15"/>
      <c r="G57" s="15"/>
      <c r="H57" s="85"/>
    </row>
    <row r="58">
      <c r="A58" s="86" t="s">
        <v>132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38"/>
    <col customWidth="1" min="3" max="3" width="26.5"/>
    <col customWidth="1" min="4" max="4" width="24.75"/>
    <col customWidth="1" min="6" max="6" width="31.63"/>
    <col customWidth="1" min="7" max="7" width="49.38"/>
    <col customWidth="1" min="8" max="8" width="26.63"/>
  </cols>
  <sheetData>
    <row r="1">
      <c r="A1" s="38" t="s">
        <v>51</v>
      </c>
      <c r="B1" s="39"/>
      <c r="C1" s="39"/>
      <c r="D1" s="39"/>
      <c r="E1" s="39"/>
      <c r="F1" s="39"/>
      <c r="G1" s="39"/>
      <c r="H1" s="13"/>
    </row>
    <row r="2">
      <c r="A2" s="40" t="s">
        <v>473</v>
      </c>
      <c r="B2" s="105" t="s">
        <v>113</v>
      </c>
      <c r="C2" s="15"/>
      <c r="D2" s="21"/>
      <c r="E2" s="42" t="s">
        <v>53</v>
      </c>
      <c r="F2" s="100" t="s">
        <v>21</v>
      </c>
      <c r="G2" s="42" t="s">
        <v>54</v>
      </c>
      <c r="H2" s="106" t="s">
        <v>2</v>
      </c>
    </row>
    <row r="3">
      <c r="A3" s="45" t="s">
        <v>55</v>
      </c>
      <c r="B3" s="46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2600901.0</v>
      </c>
    </row>
    <row r="4">
      <c r="A4" s="49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46015.0</v>
      </c>
    </row>
    <row r="5">
      <c r="A5" s="49"/>
      <c r="B5" s="15"/>
      <c r="C5" s="15"/>
      <c r="D5" s="21"/>
      <c r="E5" s="42" t="s">
        <v>60</v>
      </c>
      <c r="F5" s="110" t="s">
        <v>2</v>
      </c>
      <c r="G5" s="51" t="s">
        <v>61</v>
      </c>
      <c r="H5" s="108">
        <v>5.0</v>
      </c>
    </row>
    <row r="6">
      <c r="A6" s="52" t="s">
        <v>474</v>
      </c>
      <c r="B6" s="52"/>
      <c r="C6" s="52" t="s">
        <v>475</v>
      </c>
      <c r="D6" s="53"/>
      <c r="E6" s="54" t="s">
        <v>476</v>
      </c>
      <c r="F6" s="39"/>
      <c r="G6" s="13"/>
      <c r="H6" s="55"/>
    </row>
    <row r="7">
      <c r="A7" s="56" t="s">
        <v>477</v>
      </c>
      <c r="B7" s="56" t="s">
        <v>65</v>
      </c>
      <c r="C7" s="57" t="s">
        <v>119</v>
      </c>
      <c r="D7" s="58" t="s">
        <v>123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61"/>
      <c r="B8" s="62"/>
      <c r="C8" s="57" t="s">
        <v>122</v>
      </c>
      <c r="D8" s="58" t="s">
        <v>126</v>
      </c>
      <c r="E8" s="111" t="s">
        <v>217</v>
      </c>
      <c r="F8" s="15"/>
      <c r="G8" s="21"/>
      <c r="H8" s="60" t="str">
        <f t="shared" si="1"/>
        <v>Pass</v>
      </c>
    </row>
    <row r="9">
      <c r="A9" s="63"/>
      <c r="B9" s="62"/>
      <c r="C9" s="57" t="s">
        <v>124</v>
      </c>
      <c r="D9" s="58" t="s">
        <v>126</v>
      </c>
      <c r="E9" s="111" t="s">
        <v>217</v>
      </c>
      <c r="F9" s="15"/>
      <c r="G9" s="21"/>
      <c r="H9" s="60" t="str">
        <f t="shared" si="1"/>
        <v>Pass</v>
      </c>
    </row>
    <row r="10">
      <c r="A10" s="63"/>
      <c r="B10" s="62"/>
      <c r="C10" s="57" t="s">
        <v>125</v>
      </c>
      <c r="D10" s="58" t="s">
        <v>126</v>
      </c>
      <c r="E10" s="111" t="s">
        <v>205</v>
      </c>
      <c r="F10" s="15"/>
      <c r="G10" s="21"/>
      <c r="H10" s="60" t="str">
        <f t="shared" si="1"/>
        <v>Pass</v>
      </c>
    </row>
    <row r="11">
      <c r="A11" s="63"/>
      <c r="B11" s="62"/>
      <c r="C11" s="57" t="s">
        <v>128</v>
      </c>
      <c r="D11" s="58" t="s">
        <v>126</v>
      </c>
      <c r="E11" s="111" t="s">
        <v>478</v>
      </c>
      <c r="F11" s="15"/>
      <c r="G11" s="21"/>
      <c r="H11" s="60" t="str">
        <f t="shared" si="1"/>
        <v>Pass</v>
      </c>
    </row>
    <row r="12">
      <c r="A12" s="63"/>
      <c r="B12" s="62"/>
      <c r="C12" s="57" t="s">
        <v>129</v>
      </c>
      <c r="D12" s="58" t="s">
        <v>120</v>
      </c>
      <c r="E12" s="111" t="s">
        <v>422</v>
      </c>
      <c r="F12" s="15"/>
      <c r="G12" s="21"/>
      <c r="H12" s="60" t="str">
        <f t="shared" si="1"/>
        <v>Pass</v>
      </c>
    </row>
    <row r="13">
      <c r="A13" s="63"/>
      <c r="B13" s="62"/>
      <c r="C13" s="57" t="s">
        <v>130</v>
      </c>
      <c r="D13" s="58" t="s">
        <v>126</v>
      </c>
      <c r="E13" s="111" t="s">
        <v>223</v>
      </c>
      <c r="F13" s="15"/>
      <c r="G13" s="21"/>
      <c r="H13" s="60" t="str">
        <f t="shared" si="1"/>
        <v>Pass</v>
      </c>
    </row>
    <row r="14">
      <c r="A14" s="63"/>
      <c r="B14" s="64" t="s">
        <v>479</v>
      </c>
      <c r="C14" s="65"/>
      <c r="D14" s="97" t="s">
        <v>132</v>
      </c>
      <c r="E14" s="59"/>
      <c r="F14" s="15"/>
      <c r="G14" s="21"/>
      <c r="H14" s="67" t="str">
        <f t="shared" ref="H14:H16" si="2">IF(D14="Pass", "Pass", IF(D14="Fail", "Fail", ""))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480</v>
      </c>
      <c r="C15" s="69"/>
      <c r="D15" s="97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481</v>
      </c>
      <c r="C16" s="21"/>
      <c r="D16" s="97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482</v>
      </c>
      <c r="B17" s="71" t="s">
        <v>70</v>
      </c>
      <c r="C17" s="72" t="s">
        <v>119</v>
      </c>
      <c r="D17" s="73" t="s">
        <v>126</v>
      </c>
      <c r="E17" s="112" t="s">
        <v>223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74"/>
      <c r="B18" s="75"/>
      <c r="C18" s="72" t="s">
        <v>122</v>
      </c>
      <c r="D18" s="73" t="s">
        <v>126</v>
      </c>
      <c r="E18" s="112" t="s">
        <v>217</v>
      </c>
      <c r="F18" s="15"/>
      <c r="G18" s="21"/>
      <c r="H18" s="60" t="str">
        <f t="shared" si="3"/>
        <v>Pass</v>
      </c>
    </row>
    <row r="19">
      <c r="A19" s="63"/>
      <c r="B19" s="75"/>
      <c r="C19" s="72" t="s">
        <v>124</v>
      </c>
      <c r="D19" s="73" t="s">
        <v>126</v>
      </c>
      <c r="E19" s="112" t="s">
        <v>223</v>
      </c>
      <c r="F19" s="15"/>
      <c r="G19" s="21"/>
      <c r="H19" s="60" t="str">
        <f t="shared" si="3"/>
        <v>Pass</v>
      </c>
    </row>
    <row r="20">
      <c r="A20" s="63"/>
      <c r="B20" s="75"/>
      <c r="C20" s="72" t="s">
        <v>125</v>
      </c>
      <c r="D20" s="73" t="s">
        <v>126</v>
      </c>
      <c r="E20" s="112" t="s">
        <v>380</v>
      </c>
      <c r="F20" s="15"/>
      <c r="G20" s="21"/>
      <c r="H20" s="60" t="str">
        <f t="shared" si="3"/>
        <v>Pass</v>
      </c>
    </row>
    <row r="21">
      <c r="A21" s="63"/>
      <c r="B21" s="75"/>
      <c r="C21" s="72" t="s">
        <v>128</v>
      </c>
      <c r="D21" s="73" t="s">
        <v>126</v>
      </c>
      <c r="E21" s="112" t="s">
        <v>223</v>
      </c>
      <c r="F21" s="15"/>
      <c r="G21" s="21"/>
      <c r="H21" s="60" t="str">
        <f t="shared" si="3"/>
        <v>Pass</v>
      </c>
    </row>
    <row r="22">
      <c r="A22" s="63"/>
      <c r="B22" s="75"/>
      <c r="C22" s="72" t="s">
        <v>129</v>
      </c>
      <c r="D22" s="73" t="s">
        <v>120</v>
      </c>
      <c r="E22" s="112" t="s">
        <v>380</v>
      </c>
      <c r="F22" s="15"/>
      <c r="G22" s="21"/>
      <c r="H22" s="60" t="str">
        <f t="shared" si="3"/>
        <v>Pass</v>
      </c>
    </row>
    <row r="23">
      <c r="A23" s="63"/>
      <c r="B23" s="75"/>
      <c r="C23" s="72" t="s">
        <v>130</v>
      </c>
      <c r="D23" s="73" t="s">
        <v>126</v>
      </c>
      <c r="E23" s="112" t="s">
        <v>223</v>
      </c>
      <c r="F23" s="15"/>
      <c r="G23" s="21"/>
      <c r="H23" s="60" t="str">
        <f t="shared" si="3"/>
        <v>Pass</v>
      </c>
    </row>
    <row r="24">
      <c r="A24" s="63"/>
      <c r="B24" s="76" t="s">
        <v>483</v>
      </c>
      <c r="C24" s="77"/>
      <c r="D24" s="113" t="s">
        <v>132</v>
      </c>
      <c r="E24" s="49"/>
      <c r="F24" s="15"/>
      <c r="G24" s="21"/>
      <c r="H24" s="67" t="str">
        <f t="shared" ref="H24:H26" si="4">IF(D24="Pass", "Pass", IF(D24="Fail", "Fail", ""))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484</v>
      </c>
      <c r="C25" s="69"/>
      <c r="D25" s="11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485</v>
      </c>
      <c r="C26" s="21"/>
      <c r="D26" s="11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486</v>
      </c>
      <c r="B27" s="56" t="s">
        <v>70</v>
      </c>
      <c r="C27" s="57" t="s">
        <v>119</v>
      </c>
      <c r="D27" s="58" t="s">
        <v>123</v>
      </c>
      <c r="E27" s="111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61"/>
      <c r="B28" s="62"/>
      <c r="C28" s="57" t="s">
        <v>122</v>
      </c>
      <c r="D28" s="58" t="s">
        <v>126</v>
      </c>
      <c r="E28" s="111" t="s">
        <v>217</v>
      </c>
      <c r="F28" s="15"/>
      <c r="G28" s="21"/>
      <c r="H28" s="60" t="str">
        <f t="shared" si="5"/>
        <v>Pass</v>
      </c>
    </row>
    <row r="29">
      <c r="A29" s="63"/>
      <c r="B29" s="62"/>
      <c r="C29" s="57" t="s">
        <v>124</v>
      </c>
      <c r="D29" s="58" t="s">
        <v>126</v>
      </c>
      <c r="E29" s="111" t="s">
        <v>217</v>
      </c>
      <c r="F29" s="15"/>
      <c r="G29" s="21"/>
      <c r="H29" s="60" t="str">
        <f t="shared" si="5"/>
        <v>Pass</v>
      </c>
    </row>
    <row r="30">
      <c r="A30" s="63"/>
      <c r="B30" s="62"/>
      <c r="C30" s="57" t="s">
        <v>125</v>
      </c>
      <c r="D30" s="58" t="s">
        <v>126</v>
      </c>
      <c r="E30" s="111" t="s">
        <v>380</v>
      </c>
      <c r="F30" s="15"/>
      <c r="G30" s="21"/>
      <c r="H30" s="60" t="str">
        <f t="shared" si="5"/>
        <v>Pass</v>
      </c>
    </row>
    <row r="31">
      <c r="A31" s="63"/>
      <c r="B31" s="62"/>
      <c r="C31" s="57" t="s">
        <v>128</v>
      </c>
      <c r="D31" s="58" t="s">
        <v>123</v>
      </c>
      <c r="E31" s="111" t="s">
        <v>184</v>
      </c>
      <c r="F31" s="15"/>
      <c r="G31" s="21"/>
      <c r="H31" s="60" t="str">
        <f t="shared" si="5"/>
        <v>Pass</v>
      </c>
    </row>
    <row r="32">
      <c r="A32" s="63"/>
      <c r="B32" s="62"/>
      <c r="C32" s="57" t="s">
        <v>129</v>
      </c>
      <c r="D32" s="58" t="s">
        <v>120</v>
      </c>
      <c r="E32" s="111" t="s">
        <v>380</v>
      </c>
      <c r="F32" s="15"/>
      <c r="G32" s="21"/>
      <c r="H32" s="60" t="str">
        <f t="shared" si="5"/>
        <v>Pass</v>
      </c>
    </row>
    <row r="33">
      <c r="A33" s="63"/>
      <c r="B33" s="62"/>
      <c r="C33" s="57" t="s">
        <v>130</v>
      </c>
      <c r="D33" s="58" t="s">
        <v>126</v>
      </c>
      <c r="E33" s="111" t="s">
        <v>423</v>
      </c>
      <c r="F33" s="15"/>
      <c r="G33" s="21"/>
      <c r="H33" s="60" t="str">
        <f t="shared" si="5"/>
        <v>Pass</v>
      </c>
    </row>
    <row r="34">
      <c r="A34" s="63"/>
      <c r="B34" s="64" t="s">
        <v>487</v>
      </c>
      <c r="C34" s="65"/>
      <c r="D34" s="97" t="s">
        <v>132</v>
      </c>
      <c r="E34" s="59"/>
      <c r="F34" s="15"/>
      <c r="G34" s="21"/>
      <c r="H34" s="67" t="str">
        <f t="shared" ref="H34:H36" si="6">IF(D34="Pass", "Pass", IF(D34="Fail", "Fail", ""))</f>
        <v>Pass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63"/>
      <c r="B35" s="68" t="s">
        <v>488</v>
      </c>
      <c r="C35" s="69"/>
      <c r="D35" s="97" t="s">
        <v>132</v>
      </c>
      <c r="E35" s="59"/>
      <c r="F35" s="15"/>
      <c r="G35" s="21"/>
      <c r="H35" s="67" t="str">
        <f t="shared" si="6"/>
        <v>Pass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70"/>
      <c r="B36" s="68" t="s">
        <v>489</v>
      </c>
      <c r="C36" s="21"/>
      <c r="D36" s="97" t="s">
        <v>132</v>
      </c>
      <c r="E36" s="59"/>
      <c r="F36" s="15"/>
      <c r="G36" s="21"/>
      <c r="H36" s="67" t="str">
        <f t="shared" si="6"/>
        <v>Pass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71" t="s">
        <v>490</v>
      </c>
      <c r="B37" s="71" t="s">
        <v>70</v>
      </c>
      <c r="C37" s="72" t="s">
        <v>119</v>
      </c>
      <c r="D37" s="73" t="s">
        <v>123</v>
      </c>
      <c r="E37" s="112" t="s">
        <v>223</v>
      </c>
      <c r="F37" s="15"/>
      <c r="G37" s="21"/>
      <c r="H37" s="60" t="str">
        <f t="shared" ref="H37:H43" si="7">IF(OR(D37 = "0 - Off-Shade", D37 = "0-1 - Off-Shade/Much", D37 = "1 - Much", D37 = "1-2 - Much/Considerable", D37 = "2 - Considerable", D37 = "2-3 - Considerable/Noticeable"), "Fail", IF(D37 = "Select", "", "Pass"))</f>
        <v>Pass</v>
      </c>
    </row>
    <row r="38">
      <c r="A38" s="74"/>
      <c r="B38" s="75"/>
      <c r="C38" s="72" t="s">
        <v>122</v>
      </c>
      <c r="D38" s="73" t="s">
        <v>126</v>
      </c>
      <c r="E38" s="112"/>
      <c r="F38" s="15"/>
      <c r="G38" s="21"/>
      <c r="H38" s="60" t="str">
        <f t="shared" si="7"/>
        <v>Pass</v>
      </c>
    </row>
    <row r="39">
      <c r="A39" s="63"/>
      <c r="B39" s="75"/>
      <c r="C39" s="72" t="s">
        <v>124</v>
      </c>
      <c r="D39" s="73" t="s">
        <v>126</v>
      </c>
      <c r="E39" s="112" t="s">
        <v>217</v>
      </c>
      <c r="F39" s="15"/>
      <c r="G39" s="21"/>
      <c r="H39" s="60" t="str">
        <f t="shared" si="7"/>
        <v>Pass</v>
      </c>
    </row>
    <row r="40">
      <c r="A40" s="63"/>
      <c r="B40" s="75"/>
      <c r="C40" s="72" t="s">
        <v>125</v>
      </c>
      <c r="D40" s="73" t="s">
        <v>126</v>
      </c>
      <c r="E40" s="112" t="s">
        <v>380</v>
      </c>
      <c r="F40" s="15"/>
      <c r="G40" s="21"/>
      <c r="H40" s="60" t="str">
        <f t="shared" si="7"/>
        <v>Pass</v>
      </c>
    </row>
    <row r="41">
      <c r="A41" s="63"/>
      <c r="B41" s="75"/>
      <c r="C41" s="72" t="s">
        <v>128</v>
      </c>
      <c r="D41" s="73" t="s">
        <v>126</v>
      </c>
      <c r="E41" s="112" t="s">
        <v>233</v>
      </c>
      <c r="F41" s="15"/>
      <c r="G41" s="21"/>
      <c r="H41" s="60" t="str">
        <f t="shared" si="7"/>
        <v>Pass</v>
      </c>
    </row>
    <row r="42">
      <c r="A42" s="63"/>
      <c r="B42" s="75"/>
      <c r="C42" s="72" t="s">
        <v>129</v>
      </c>
      <c r="D42" s="73" t="s">
        <v>120</v>
      </c>
      <c r="E42" s="112" t="s">
        <v>380</v>
      </c>
      <c r="F42" s="15"/>
      <c r="G42" s="21"/>
      <c r="H42" s="60" t="str">
        <f t="shared" si="7"/>
        <v>Pass</v>
      </c>
    </row>
    <row r="43">
      <c r="A43" s="63"/>
      <c r="B43" s="75"/>
      <c r="C43" s="72" t="s">
        <v>130</v>
      </c>
      <c r="D43" s="73" t="s">
        <v>126</v>
      </c>
      <c r="E43" s="112" t="s">
        <v>423</v>
      </c>
      <c r="F43" s="15"/>
      <c r="G43" s="21"/>
      <c r="H43" s="60" t="str">
        <f t="shared" si="7"/>
        <v>Pass</v>
      </c>
    </row>
    <row r="44">
      <c r="A44" s="63"/>
      <c r="B44" s="76" t="s">
        <v>491</v>
      </c>
      <c r="C44" s="77"/>
      <c r="D44" s="113" t="s">
        <v>132</v>
      </c>
      <c r="E44" s="49"/>
      <c r="F44" s="15"/>
      <c r="G44" s="21"/>
      <c r="H44" s="67" t="str">
        <f t="shared" ref="H44:H46" si="8">IF(D44="Pass", "Pass", IF(D44="Fail", "Fail", ""))</f>
        <v>Pass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63"/>
      <c r="B45" s="79" t="s">
        <v>492</v>
      </c>
      <c r="C45" s="69"/>
      <c r="D45" s="113" t="s">
        <v>132</v>
      </c>
      <c r="E45" s="49"/>
      <c r="F45" s="15"/>
      <c r="G45" s="21"/>
      <c r="H45" s="67" t="str">
        <f t="shared" si="8"/>
        <v>Pass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70"/>
      <c r="B46" s="79" t="s">
        <v>493</v>
      </c>
      <c r="C46" s="21"/>
      <c r="D46" s="113" t="s">
        <v>132</v>
      </c>
      <c r="E46" s="49"/>
      <c r="F46" s="15"/>
      <c r="G46" s="21"/>
      <c r="H46" s="67" t="str">
        <f t="shared" si="8"/>
        <v>Pass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6" t="s">
        <v>494</v>
      </c>
      <c r="B47" s="56" t="s">
        <v>70</v>
      </c>
      <c r="C47" s="57" t="s">
        <v>119</v>
      </c>
      <c r="D47" s="58" t="s">
        <v>123</v>
      </c>
      <c r="E47" s="111" t="s">
        <v>223</v>
      </c>
      <c r="F47" s="15"/>
      <c r="G47" s="21"/>
      <c r="H47" s="60" t="str">
        <f t="shared" ref="H47:H53" si="9">IF(OR(D47 = "0 - Off-Shade", D47 = "0-1 - Off-Shade/Much", D47 = "1 - Much", D47 = "1-2 - Much/Considerable", D47 = "2 - Considerable", D47 = "2-3 - Considerable/Noticeable"), "Fail", IF(D47 = "Select", "", "Pass"))</f>
        <v>Pass</v>
      </c>
    </row>
    <row r="48">
      <c r="A48" s="61"/>
      <c r="B48" s="62"/>
      <c r="C48" s="57" t="s">
        <v>122</v>
      </c>
      <c r="D48" s="58" t="s">
        <v>126</v>
      </c>
      <c r="E48" s="111" t="s">
        <v>390</v>
      </c>
      <c r="F48" s="15"/>
      <c r="G48" s="21"/>
      <c r="H48" s="60" t="str">
        <f t="shared" si="9"/>
        <v>Pass</v>
      </c>
    </row>
    <row r="49">
      <c r="A49" s="63"/>
      <c r="B49" s="62"/>
      <c r="C49" s="57" t="s">
        <v>124</v>
      </c>
      <c r="D49" s="58" t="s">
        <v>123</v>
      </c>
      <c r="E49" s="111"/>
      <c r="F49" s="15"/>
      <c r="G49" s="21"/>
      <c r="H49" s="60" t="str">
        <f t="shared" si="9"/>
        <v>Pass</v>
      </c>
    </row>
    <row r="50">
      <c r="A50" s="63"/>
      <c r="B50" s="62"/>
      <c r="C50" s="57" t="s">
        <v>125</v>
      </c>
      <c r="D50" s="58" t="s">
        <v>126</v>
      </c>
      <c r="E50" s="111" t="s">
        <v>223</v>
      </c>
      <c r="F50" s="15"/>
      <c r="G50" s="21"/>
      <c r="H50" s="60" t="str">
        <f t="shared" si="9"/>
        <v>Pass</v>
      </c>
    </row>
    <row r="51">
      <c r="A51" s="63"/>
      <c r="B51" s="62"/>
      <c r="C51" s="57" t="s">
        <v>128</v>
      </c>
      <c r="D51" s="58" t="s">
        <v>126</v>
      </c>
      <c r="E51" s="111" t="s">
        <v>217</v>
      </c>
      <c r="F51" s="15"/>
      <c r="G51" s="21"/>
      <c r="H51" s="60" t="str">
        <f t="shared" si="9"/>
        <v>Pass</v>
      </c>
    </row>
    <row r="52">
      <c r="A52" s="63"/>
      <c r="B52" s="62"/>
      <c r="C52" s="57" t="s">
        <v>129</v>
      </c>
      <c r="D52" s="58" t="s">
        <v>120</v>
      </c>
      <c r="E52" s="111" t="s">
        <v>205</v>
      </c>
      <c r="F52" s="15"/>
      <c r="G52" s="21"/>
      <c r="H52" s="60" t="str">
        <f t="shared" si="9"/>
        <v>Pass</v>
      </c>
    </row>
    <row r="53">
      <c r="A53" s="63"/>
      <c r="B53" s="62"/>
      <c r="C53" s="57" t="s">
        <v>130</v>
      </c>
      <c r="D53" s="58" t="s">
        <v>126</v>
      </c>
      <c r="E53" s="111" t="s">
        <v>163</v>
      </c>
      <c r="F53" s="15"/>
      <c r="G53" s="21"/>
      <c r="H53" s="60" t="str">
        <f t="shared" si="9"/>
        <v>Pass</v>
      </c>
    </row>
    <row r="54">
      <c r="A54" s="63"/>
      <c r="B54" s="80" t="s">
        <v>495</v>
      </c>
      <c r="C54" s="81"/>
      <c r="D54" s="58" t="s">
        <v>132</v>
      </c>
      <c r="E54" s="59"/>
      <c r="F54" s="15"/>
      <c r="G54" s="21"/>
      <c r="H54" s="82" t="str">
        <f t="shared" ref="H54:H56" si="10">IF(D54="Pass", "Pass", IF(D54="Fail", "Fail", ""))</f>
        <v>Pass</v>
      </c>
    </row>
    <row r="55">
      <c r="A55" s="63"/>
      <c r="B55" s="80" t="s">
        <v>496</v>
      </c>
      <c r="C55" s="69"/>
      <c r="D55" s="58" t="s">
        <v>132</v>
      </c>
      <c r="E55" s="59"/>
      <c r="F55" s="15"/>
      <c r="G55" s="21"/>
      <c r="H55" s="82" t="str">
        <f t="shared" si="10"/>
        <v>Pass</v>
      </c>
    </row>
    <row r="56">
      <c r="A56" s="70"/>
      <c r="B56" s="80" t="s">
        <v>497</v>
      </c>
      <c r="C56" s="21"/>
      <c r="D56" s="58" t="s">
        <v>132</v>
      </c>
      <c r="E56" s="59"/>
      <c r="F56" s="15"/>
      <c r="G56" s="21"/>
      <c r="H56" s="82" t="str">
        <f t="shared" si="10"/>
        <v>Pass</v>
      </c>
    </row>
    <row r="57">
      <c r="A57" s="83" t="s">
        <v>83</v>
      </c>
      <c r="B57" s="15"/>
      <c r="C57" s="21"/>
      <c r="D57" s="84" t="s">
        <v>498</v>
      </c>
      <c r="E57" s="15"/>
      <c r="F57" s="15"/>
      <c r="G57" s="15"/>
      <c r="H57" s="85"/>
    </row>
    <row r="58">
      <c r="A58" s="86" t="s">
        <v>132</v>
      </c>
      <c r="B58" s="15"/>
      <c r="C58" s="21"/>
      <c r="D58" s="49"/>
      <c r="E58" s="15"/>
      <c r="F58" s="15"/>
      <c r="G58" s="15"/>
      <c r="H58" s="21"/>
    </row>
  </sheetData>
  <mergeCells count="70"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E37:G37"/>
    <mergeCell ref="E13:G13"/>
    <mergeCell ref="C14:C16"/>
    <mergeCell ref="E14:G14"/>
    <mergeCell ref="E15:G15"/>
    <mergeCell ref="E16:G16"/>
    <mergeCell ref="A18:A26"/>
    <mergeCell ref="A28:A36"/>
    <mergeCell ref="E42:G42"/>
    <mergeCell ref="E48:G48"/>
    <mergeCell ref="A38:A46"/>
    <mergeCell ref="E38:G38"/>
    <mergeCell ref="E39:G39"/>
    <mergeCell ref="E40:G40"/>
    <mergeCell ref="E41:G41"/>
    <mergeCell ref="A48:A56"/>
    <mergeCell ref="E53:G53"/>
    <mergeCell ref="E43:G43"/>
    <mergeCell ref="E44:G44"/>
    <mergeCell ref="E45:G45"/>
    <mergeCell ref="E46:G46"/>
    <mergeCell ref="E47:G47"/>
    <mergeCell ref="E49:G49"/>
    <mergeCell ref="E50:G50"/>
    <mergeCell ref="E51:G51"/>
    <mergeCell ref="E52:G52"/>
    <mergeCell ref="C44:C46"/>
    <mergeCell ref="C54:C56"/>
    <mergeCell ref="E54:G54"/>
    <mergeCell ref="E55:G55"/>
    <mergeCell ref="E56:G56"/>
    <mergeCell ref="A57:C57"/>
    <mergeCell ref="D57:G57"/>
    <mergeCell ref="A58:C58"/>
    <mergeCell ref="D58:H58"/>
  </mergeCells>
  <conditionalFormatting sqref="H7:H56">
    <cfRule type="cellIs" dxfId="0" priority="1" operator="equal">
      <formula>"Pass"</formula>
    </cfRule>
  </conditionalFormatting>
  <conditionalFormatting sqref="H7:H56">
    <cfRule type="cellIs" dxfId="1" priority="2" operator="equal">
      <formula>"Fail"</formula>
    </cfRule>
  </conditionalFormatting>
  <conditionalFormatting sqref="A58:C58">
    <cfRule type="cellIs" dxfId="0" priority="3" operator="equal">
      <formula>"Pass"</formula>
    </cfRule>
  </conditionalFormatting>
  <conditionalFormatting sqref="A58:C58">
    <cfRule type="cellIs" dxfId="1" priority="4" operator="equal">
      <formula>"Fail"</formula>
    </cfRule>
  </conditionalFormatting>
  <dataValidations>
    <dataValidation type="list" allowBlank="1" showErrorMessage="1" sqref="D7:D13 D17:D23 D27:D33 D37:D43 D47:D5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D14:D16 D24:D26 D34:D36 D44:D46 D54:D56">
      <formula1>"Select,Pass,Fail"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499</v>
      </c>
      <c r="B2" s="91" t="s">
        <v>113</v>
      </c>
      <c r="C2" s="15"/>
      <c r="D2" s="21"/>
      <c r="E2" s="42" t="s">
        <v>53</v>
      </c>
      <c r="F2" s="100" t="s">
        <v>36</v>
      </c>
      <c r="G2" s="42" t="s">
        <v>54</v>
      </c>
      <c r="H2" s="106" t="s">
        <v>38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2601960.0</v>
      </c>
    </row>
    <row r="4">
      <c r="A4" s="92"/>
      <c r="B4" s="15"/>
      <c r="C4" s="15"/>
      <c r="D4" s="21"/>
      <c r="E4" s="42" t="s">
        <v>58</v>
      </c>
      <c r="F4" s="100" t="s">
        <v>37</v>
      </c>
      <c r="G4" s="42" t="s">
        <v>59</v>
      </c>
      <c r="H4" s="109">
        <v>46075.0</v>
      </c>
    </row>
    <row r="5">
      <c r="A5" s="92"/>
      <c r="B5" s="15"/>
      <c r="C5" s="15"/>
      <c r="D5" s="21"/>
      <c r="E5" s="42" t="s">
        <v>60</v>
      </c>
      <c r="F5" s="50"/>
      <c r="G5" s="51" t="s">
        <v>86</v>
      </c>
      <c r="H5" s="108">
        <v>3.0</v>
      </c>
    </row>
    <row r="6">
      <c r="A6" s="93" t="s">
        <v>500</v>
      </c>
      <c r="B6" s="93"/>
      <c r="C6" s="52" t="s">
        <v>501</v>
      </c>
      <c r="D6" s="53"/>
      <c r="E6" s="84" t="s">
        <v>502</v>
      </c>
      <c r="F6" s="15"/>
      <c r="G6" s="15"/>
      <c r="H6" s="85"/>
    </row>
    <row r="7">
      <c r="A7" s="56" t="s">
        <v>503</v>
      </c>
      <c r="B7" s="56" t="s">
        <v>65</v>
      </c>
      <c r="C7" s="57" t="s">
        <v>119</v>
      </c>
      <c r="D7" s="58" t="s">
        <v>120</v>
      </c>
      <c r="E7" s="111" t="s">
        <v>233</v>
      </c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>Pass</v>
      </c>
    </row>
    <row r="8">
      <c r="A8" s="95"/>
      <c r="B8" s="96"/>
      <c r="C8" s="57" t="s">
        <v>122</v>
      </c>
      <c r="D8" s="58" t="s">
        <v>126</v>
      </c>
      <c r="E8" s="111" t="s">
        <v>217</v>
      </c>
      <c r="F8" s="15"/>
      <c r="G8" s="21"/>
      <c r="H8" s="60" t="str">
        <f t="shared" si="1"/>
        <v>Pass</v>
      </c>
    </row>
    <row r="9">
      <c r="A9" s="63"/>
      <c r="B9" s="96"/>
      <c r="C9" s="57" t="s">
        <v>124</v>
      </c>
      <c r="D9" s="58" t="s">
        <v>126</v>
      </c>
      <c r="E9" s="111" t="s">
        <v>504</v>
      </c>
      <c r="F9" s="15"/>
      <c r="G9" s="21"/>
      <c r="H9" s="60" t="str">
        <f t="shared" si="1"/>
        <v>Pass</v>
      </c>
    </row>
    <row r="10">
      <c r="A10" s="63"/>
      <c r="B10" s="96"/>
      <c r="C10" s="57" t="s">
        <v>125</v>
      </c>
      <c r="D10" s="58" t="s">
        <v>126</v>
      </c>
      <c r="E10" s="111" t="s">
        <v>223</v>
      </c>
      <c r="F10" s="15"/>
      <c r="G10" s="21"/>
      <c r="H10" s="60" t="str">
        <f t="shared" si="1"/>
        <v>Pass</v>
      </c>
    </row>
    <row r="11">
      <c r="A11" s="63"/>
      <c r="B11" s="96"/>
      <c r="C11" s="57" t="s">
        <v>128</v>
      </c>
      <c r="D11" s="58" t="s">
        <v>120</v>
      </c>
      <c r="E11" s="111" t="s">
        <v>332</v>
      </c>
      <c r="F11" s="15"/>
      <c r="G11" s="21"/>
      <c r="H11" s="60" t="str">
        <f t="shared" si="1"/>
        <v>Pass</v>
      </c>
    </row>
    <row r="12">
      <c r="A12" s="63"/>
      <c r="B12" s="96"/>
      <c r="C12" s="57" t="s">
        <v>129</v>
      </c>
      <c r="D12" s="58" t="s">
        <v>120</v>
      </c>
      <c r="E12" s="111" t="s">
        <v>407</v>
      </c>
      <c r="F12" s="15"/>
      <c r="G12" s="21"/>
      <c r="H12" s="60" t="str">
        <f t="shared" si="1"/>
        <v>Pass</v>
      </c>
    </row>
    <row r="13">
      <c r="A13" s="63"/>
      <c r="B13" s="96"/>
      <c r="C13" s="57" t="s">
        <v>130</v>
      </c>
      <c r="D13" s="58" t="s">
        <v>126</v>
      </c>
      <c r="E13" s="111" t="s">
        <v>423</v>
      </c>
      <c r="F13" s="15"/>
      <c r="G13" s="21"/>
      <c r="H13" s="60" t="str">
        <f t="shared" si="1"/>
        <v>Pass</v>
      </c>
    </row>
    <row r="14">
      <c r="A14" s="63"/>
      <c r="B14" s="64" t="s">
        <v>505</v>
      </c>
      <c r="C14" s="65"/>
      <c r="D14" s="58" t="s">
        <v>132</v>
      </c>
      <c r="E14" s="59"/>
      <c r="F14" s="15"/>
      <c r="G14" s="21"/>
      <c r="H14" s="67" t="str">
        <f t="shared" ref="H14:H16" si="2">IF(D14="Pass", "Pass", IF(D14="Fail", "Fail", ""))
</f>
        <v>Pass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506</v>
      </c>
      <c r="C15" s="69"/>
      <c r="D15" s="58" t="s">
        <v>132</v>
      </c>
      <c r="E15" s="59"/>
      <c r="F15" s="15"/>
      <c r="G15" s="21"/>
      <c r="H15" s="67" t="str">
        <f t="shared" si="2"/>
        <v>Pass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507</v>
      </c>
      <c r="C16" s="21"/>
      <c r="D16" s="58" t="s">
        <v>132</v>
      </c>
      <c r="E16" s="59"/>
      <c r="F16" s="15"/>
      <c r="G16" s="21"/>
      <c r="H16" s="67" t="str">
        <f t="shared" si="2"/>
        <v>Pass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508</v>
      </c>
      <c r="B17" s="71" t="s">
        <v>65</v>
      </c>
      <c r="C17" s="72" t="s">
        <v>119</v>
      </c>
      <c r="D17" s="73" t="s">
        <v>120</v>
      </c>
      <c r="E17" s="112" t="s">
        <v>233</v>
      </c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>Pass</v>
      </c>
    </row>
    <row r="18">
      <c r="A18" s="99"/>
      <c r="B18" s="100"/>
      <c r="C18" s="72" t="s">
        <v>122</v>
      </c>
      <c r="D18" s="73" t="s">
        <v>126</v>
      </c>
      <c r="E18" s="112" t="s">
        <v>223</v>
      </c>
      <c r="F18" s="15"/>
      <c r="G18" s="21"/>
      <c r="H18" s="60" t="str">
        <f t="shared" si="3"/>
        <v>Pass</v>
      </c>
    </row>
    <row r="19">
      <c r="A19" s="63"/>
      <c r="B19" s="100"/>
      <c r="C19" s="72" t="s">
        <v>124</v>
      </c>
      <c r="D19" s="73" t="s">
        <v>126</v>
      </c>
      <c r="E19" s="112" t="s">
        <v>223</v>
      </c>
      <c r="F19" s="15"/>
      <c r="G19" s="21"/>
      <c r="H19" s="60" t="str">
        <f t="shared" si="3"/>
        <v>Pass</v>
      </c>
    </row>
    <row r="20">
      <c r="A20" s="63"/>
      <c r="B20" s="100"/>
      <c r="C20" s="72" t="s">
        <v>125</v>
      </c>
      <c r="D20" s="73" t="s">
        <v>126</v>
      </c>
      <c r="E20" s="112" t="s">
        <v>223</v>
      </c>
      <c r="F20" s="15"/>
      <c r="G20" s="21"/>
      <c r="H20" s="60" t="str">
        <f t="shared" si="3"/>
        <v>Pass</v>
      </c>
    </row>
    <row r="21">
      <c r="A21" s="63"/>
      <c r="B21" s="100"/>
      <c r="C21" s="72" t="s">
        <v>128</v>
      </c>
      <c r="D21" s="73" t="s">
        <v>120</v>
      </c>
      <c r="E21" s="112" t="s">
        <v>233</v>
      </c>
      <c r="F21" s="15"/>
      <c r="G21" s="21"/>
      <c r="H21" s="60" t="str">
        <f t="shared" si="3"/>
        <v>Pass</v>
      </c>
    </row>
    <row r="22">
      <c r="A22" s="63"/>
      <c r="B22" s="100"/>
      <c r="C22" s="72" t="s">
        <v>129</v>
      </c>
      <c r="D22" s="73" t="s">
        <v>120</v>
      </c>
      <c r="E22" s="112" t="s">
        <v>407</v>
      </c>
      <c r="F22" s="15"/>
      <c r="G22" s="21"/>
      <c r="H22" s="60" t="str">
        <f t="shared" si="3"/>
        <v>Pass</v>
      </c>
    </row>
    <row r="23">
      <c r="A23" s="63"/>
      <c r="B23" s="100"/>
      <c r="C23" s="72" t="s">
        <v>130</v>
      </c>
      <c r="D23" s="73" t="s">
        <v>126</v>
      </c>
      <c r="E23" s="112" t="s">
        <v>423</v>
      </c>
      <c r="F23" s="15"/>
      <c r="G23" s="21"/>
      <c r="H23" s="60" t="str">
        <f t="shared" si="3"/>
        <v>Pass</v>
      </c>
    </row>
    <row r="24">
      <c r="A24" s="63"/>
      <c r="B24" s="76" t="s">
        <v>509</v>
      </c>
      <c r="C24" s="77"/>
      <c r="D24" s="73" t="s">
        <v>132</v>
      </c>
      <c r="E24" s="49"/>
      <c r="F24" s="15"/>
      <c r="G24" s="21"/>
      <c r="H24" s="67" t="str">
        <f t="shared" ref="H24:H26" si="4">IF(D24="Pass", "Pass", IF(D24="Fail", "Fail", ""))
</f>
        <v>Pass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510</v>
      </c>
      <c r="C25" s="69"/>
      <c r="D25" s="73" t="s">
        <v>132</v>
      </c>
      <c r="E25" s="49"/>
      <c r="F25" s="15"/>
      <c r="G25" s="21"/>
      <c r="H25" s="67" t="str">
        <f t="shared" si="4"/>
        <v>Pass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511</v>
      </c>
      <c r="C26" s="21"/>
      <c r="D26" s="73" t="s">
        <v>132</v>
      </c>
      <c r="E26" s="49"/>
      <c r="F26" s="15"/>
      <c r="G26" s="21"/>
      <c r="H26" s="67" t="str">
        <f t="shared" si="4"/>
        <v>Pass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512</v>
      </c>
      <c r="B27" s="56" t="s">
        <v>65</v>
      </c>
      <c r="C27" s="57" t="s">
        <v>119</v>
      </c>
      <c r="D27" s="58" t="s">
        <v>120</v>
      </c>
      <c r="E27" s="111" t="s">
        <v>233</v>
      </c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>Pass</v>
      </c>
    </row>
    <row r="28">
      <c r="A28" s="95"/>
      <c r="B28" s="96"/>
      <c r="C28" s="57" t="s">
        <v>122</v>
      </c>
      <c r="D28" s="58" t="s">
        <v>126</v>
      </c>
      <c r="E28" s="111" t="s">
        <v>422</v>
      </c>
      <c r="F28" s="15"/>
      <c r="G28" s="21"/>
      <c r="H28" s="60" t="str">
        <f t="shared" si="5"/>
        <v>Pass</v>
      </c>
    </row>
    <row r="29">
      <c r="A29" s="63"/>
      <c r="B29" s="96"/>
      <c r="C29" s="57" t="s">
        <v>124</v>
      </c>
      <c r="D29" s="58" t="s">
        <v>126</v>
      </c>
      <c r="E29" s="111" t="s">
        <v>380</v>
      </c>
      <c r="F29" s="15"/>
      <c r="G29" s="21"/>
      <c r="H29" s="60" t="str">
        <f t="shared" si="5"/>
        <v>Pass</v>
      </c>
    </row>
    <row r="30">
      <c r="A30" s="63"/>
      <c r="B30" s="96"/>
      <c r="C30" s="57" t="s">
        <v>125</v>
      </c>
      <c r="D30" s="58" t="s">
        <v>126</v>
      </c>
      <c r="E30" s="111" t="s">
        <v>380</v>
      </c>
      <c r="F30" s="15"/>
      <c r="G30" s="21"/>
      <c r="H30" s="60" t="str">
        <f t="shared" si="5"/>
        <v>Pass</v>
      </c>
    </row>
    <row r="31">
      <c r="A31" s="63"/>
      <c r="B31" s="96"/>
      <c r="C31" s="57" t="s">
        <v>128</v>
      </c>
      <c r="D31" s="58" t="s">
        <v>120</v>
      </c>
      <c r="E31" s="111" t="s">
        <v>332</v>
      </c>
      <c r="F31" s="15"/>
      <c r="G31" s="21"/>
      <c r="H31" s="60" t="str">
        <f t="shared" si="5"/>
        <v>Pass</v>
      </c>
    </row>
    <row r="32">
      <c r="A32" s="63"/>
      <c r="B32" s="96"/>
      <c r="C32" s="57" t="s">
        <v>129</v>
      </c>
      <c r="D32" s="58" t="s">
        <v>120</v>
      </c>
      <c r="E32" s="111" t="s">
        <v>205</v>
      </c>
      <c r="F32" s="15"/>
      <c r="G32" s="21"/>
      <c r="H32" s="60" t="str">
        <f t="shared" si="5"/>
        <v>Pass</v>
      </c>
    </row>
    <row r="33">
      <c r="A33" s="63"/>
      <c r="B33" s="96"/>
      <c r="C33" s="57" t="s">
        <v>130</v>
      </c>
      <c r="D33" s="58" t="s">
        <v>126</v>
      </c>
      <c r="E33" s="111" t="s">
        <v>423</v>
      </c>
      <c r="F33" s="15"/>
      <c r="G33" s="21"/>
      <c r="H33" s="60" t="str">
        <f t="shared" si="5"/>
        <v>Pass</v>
      </c>
    </row>
    <row r="34">
      <c r="A34" s="63"/>
      <c r="B34" s="64" t="s">
        <v>513</v>
      </c>
      <c r="C34" s="81"/>
      <c r="D34" s="58" t="s">
        <v>132</v>
      </c>
      <c r="E34" s="59"/>
      <c r="F34" s="15"/>
      <c r="G34" s="21"/>
      <c r="H34" s="60" t="str">
        <f t="shared" ref="H34:H36" si="6">IF(D34="Pass", "Pass", IF(D34="Fail", "Fail", ""))
</f>
        <v>Pass</v>
      </c>
    </row>
    <row r="35">
      <c r="A35" s="63"/>
      <c r="B35" s="68" t="s">
        <v>514</v>
      </c>
      <c r="C35" s="69"/>
      <c r="D35" s="58" t="s">
        <v>132</v>
      </c>
      <c r="E35" s="59"/>
      <c r="F35" s="15"/>
      <c r="G35" s="21"/>
      <c r="H35" s="60" t="str">
        <f t="shared" si="6"/>
        <v>Pass</v>
      </c>
    </row>
    <row r="36">
      <c r="A36" s="70"/>
      <c r="B36" s="68" t="s">
        <v>515</v>
      </c>
      <c r="C36" s="21"/>
      <c r="D36" s="58" t="s">
        <v>132</v>
      </c>
      <c r="E36" s="59"/>
      <c r="F36" s="15"/>
      <c r="G36" s="21"/>
      <c r="H36" s="60" t="str">
        <f t="shared" si="6"/>
        <v>Pass</v>
      </c>
    </row>
    <row r="37">
      <c r="A37" s="102" t="s">
        <v>83</v>
      </c>
      <c r="B37" s="15"/>
      <c r="C37" s="21"/>
      <c r="D37" s="54" t="s">
        <v>516</v>
      </c>
      <c r="E37" s="39"/>
      <c r="F37" s="39"/>
      <c r="G37" s="13"/>
      <c r="H37" s="55"/>
    </row>
    <row r="38">
      <c r="A38" s="103" t="s">
        <v>132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6.25"/>
    <col customWidth="1" min="4" max="4" width="23.13"/>
    <col customWidth="1" min="6" max="6" width="31.63"/>
    <col customWidth="1" min="7" max="7" width="49.38"/>
    <col customWidth="1" min="8" max="8" width="26.63"/>
  </cols>
  <sheetData>
    <row r="1">
      <c r="A1" s="87" t="s">
        <v>51</v>
      </c>
      <c r="B1" s="39"/>
      <c r="C1" s="39"/>
      <c r="D1" s="39"/>
      <c r="E1" s="39"/>
      <c r="F1" s="39"/>
      <c r="G1" s="39"/>
      <c r="H1" s="13"/>
    </row>
    <row r="2">
      <c r="A2" s="88" t="s">
        <v>517</v>
      </c>
      <c r="B2" s="91" t="s">
        <v>113</v>
      </c>
      <c r="C2" s="15"/>
      <c r="D2" s="21"/>
      <c r="E2" s="42" t="s">
        <v>53</v>
      </c>
      <c r="F2" s="100" t="s">
        <v>26</v>
      </c>
      <c r="G2" s="42" t="s">
        <v>54</v>
      </c>
      <c r="H2" s="106" t="s">
        <v>2</v>
      </c>
    </row>
    <row r="3">
      <c r="A3" s="90" t="s">
        <v>55</v>
      </c>
      <c r="B3" s="91" t="s">
        <v>22</v>
      </c>
      <c r="C3" s="15"/>
      <c r="D3" s="21"/>
      <c r="E3" s="47" t="s">
        <v>56</v>
      </c>
      <c r="F3" s="107" t="s">
        <v>114</v>
      </c>
      <c r="G3" s="42" t="s">
        <v>57</v>
      </c>
      <c r="H3" s="108">
        <v>2602058.0</v>
      </c>
    </row>
    <row r="4">
      <c r="A4" s="92"/>
      <c r="B4" s="15"/>
      <c r="C4" s="15"/>
      <c r="D4" s="21"/>
      <c r="E4" s="42" t="s">
        <v>58</v>
      </c>
      <c r="F4" s="100" t="s">
        <v>2</v>
      </c>
      <c r="G4" s="42" t="s">
        <v>59</v>
      </c>
      <c r="H4" s="109">
        <v>46084.0</v>
      </c>
    </row>
    <row r="5">
      <c r="A5" s="92"/>
      <c r="B5" s="15"/>
      <c r="C5" s="15"/>
      <c r="D5" s="21"/>
      <c r="E5" s="42" t="s">
        <v>60</v>
      </c>
      <c r="F5" s="110" t="s">
        <v>2</v>
      </c>
      <c r="G5" s="51" t="s">
        <v>86</v>
      </c>
      <c r="H5" s="108">
        <v>3.0</v>
      </c>
    </row>
    <row r="6">
      <c r="A6" s="93" t="s">
        <v>518</v>
      </c>
      <c r="B6" s="93"/>
      <c r="C6" s="52" t="s">
        <v>519</v>
      </c>
      <c r="D6" s="53"/>
      <c r="E6" s="84" t="s">
        <v>520</v>
      </c>
      <c r="F6" s="15"/>
      <c r="G6" s="15"/>
      <c r="H6" s="85"/>
    </row>
    <row r="7">
      <c r="A7" s="56" t="s">
        <v>521</v>
      </c>
      <c r="B7" s="56" t="s">
        <v>65</v>
      </c>
      <c r="C7" s="57" t="s">
        <v>119</v>
      </c>
      <c r="D7" s="58" t="s">
        <v>66</v>
      </c>
      <c r="E7" s="59"/>
      <c r="F7" s="15"/>
      <c r="G7" s="21"/>
      <c r="H7" s="60" t="str">
        <f t="shared" ref="H7:H13" si="1">IF(OR(D7 = "0 - Off-Shade", D7 = "0-1 - Off-Shade/Much", D7 = "1 - Much", D7 = "1-2 - Much/Considerable", D7 = "2 - Considerable", D7 = "2-3 - Considerable/Noticeable"), "Fail", IF(D7 = "Select", "", "Pass"))</f>
        <v/>
      </c>
    </row>
    <row r="8">
      <c r="A8" s="95"/>
      <c r="B8" s="96"/>
      <c r="C8" s="57" t="s">
        <v>122</v>
      </c>
      <c r="D8" s="58" t="s">
        <v>66</v>
      </c>
      <c r="E8" s="59"/>
      <c r="F8" s="15"/>
      <c r="G8" s="21"/>
      <c r="H8" s="60" t="str">
        <f t="shared" si="1"/>
        <v/>
      </c>
    </row>
    <row r="9">
      <c r="A9" s="63"/>
      <c r="B9" s="96"/>
      <c r="C9" s="57" t="s">
        <v>124</v>
      </c>
      <c r="D9" s="58" t="s">
        <v>66</v>
      </c>
      <c r="E9" s="59"/>
      <c r="F9" s="15"/>
      <c r="G9" s="21"/>
      <c r="H9" s="60" t="str">
        <f t="shared" si="1"/>
        <v/>
      </c>
    </row>
    <row r="10">
      <c r="A10" s="63"/>
      <c r="B10" s="96"/>
      <c r="C10" s="57" t="s">
        <v>125</v>
      </c>
      <c r="D10" s="58" t="s">
        <v>66</v>
      </c>
      <c r="E10" s="59"/>
      <c r="F10" s="15"/>
      <c r="G10" s="21"/>
      <c r="H10" s="60" t="str">
        <f t="shared" si="1"/>
        <v/>
      </c>
    </row>
    <row r="11">
      <c r="A11" s="63"/>
      <c r="B11" s="96"/>
      <c r="C11" s="57" t="s">
        <v>128</v>
      </c>
      <c r="D11" s="58" t="s">
        <v>66</v>
      </c>
      <c r="E11" s="59"/>
      <c r="F11" s="15"/>
      <c r="G11" s="21"/>
      <c r="H11" s="60" t="str">
        <f t="shared" si="1"/>
        <v/>
      </c>
    </row>
    <row r="12">
      <c r="A12" s="63"/>
      <c r="B12" s="96"/>
      <c r="C12" s="57" t="s">
        <v>129</v>
      </c>
      <c r="D12" s="58" t="s">
        <v>66</v>
      </c>
      <c r="E12" s="59"/>
      <c r="F12" s="15"/>
      <c r="G12" s="21"/>
      <c r="H12" s="60" t="str">
        <f t="shared" si="1"/>
        <v/>
      </c>
    </row>
    <row r="13">
      <c r="A13" s="63"/>
      <c r="B13" s="96"/>
      <c r="C13" s="57" t="s">
        <v>130</v>
      </c>
      <c r="D13" s="58" t="s">
        <v>66</v>
      </c>
      <c r="E13" s="59"/>
      <c r="F13" s="15"/>
      <c r="G13" s="21"/>
      <c r="H13" s="60" t="str">
        <f t="shared" si="1"/>
        <v/>
      </c>
    </row>
    <row r="14">
      <c r="A14" s="63"/>
      <c r="B14" s="64" t="s">
        <v>522</v>
      </c>
      <c r="C14" s="65"/>
      <c r="D14" s="58" t="s">
        <v>66</v>
      </c>
      <c r="E14" s="59"/>
      <c r="F14" s="15"/>
      <c r="G14" s="21"/>
      <c r="H14" s="67" t="str">
        <f t="shared" ref="H14:H16" si="2">IF(D14="Pass", "Pass", IF(D14="Fail", "Fail", ""))
</f>
        <v/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63"/>
      <c r="B15" s="68" t="s">
        <v>523</v>
      </c>
      <c r="C15" s="69"/>
      <c r="D15" s="58" t="s">
        <v>66</v>
      </c>
      <c r="E15" s="59"/>
      <c r="F15" s="15"/>
      <c r="G15" s="21"/>
      <c r="H15" s="67" t="str">
        <f t="shared" si="2"/>
        <v/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70"/>
      <c r="B16" s="68" t="s">
        <v>524</v>
      </c>
      <c r="C16" s="21"/>
      <c r="D16" s="58" t="s">
        <v>66</v>
      </c>
      <c r="E16" s="59"/>
      <c r="F16" s="15"/>
      <c r="G16" s="21"/>
      <c r="H16" s="67" t="str">
        <f t="shared" si="2"/>
        <v/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71" t="s">
        <v>525</v>
      </c>
      <c r="B17" s="71" t="s">
        <v>65</v>
      </c>
      <c r="C17" s="72" t="s">
        <v>119</v>
      </c>
      <c r="D17" s="73" t="s">
        <v>66</v>
      </c>
      <c r="E17" s="49"/>
      <c r="F17" s="15"/>
      <c r="G17" s="21"/>
      <c r="H17" s="60" t="str">
        <f t="shared" ref="H17:H23" si="3">IF(OR(D17 = "0 - Off-Shade", D17 = "0-1 - Off-Shade/Much", D17 = "1 - Much", D17 = "1-2 - Much/Considerable", D17 = "2 - Considerable", D17 = "2-3 - Considerable/Noticeable"), "Fail", IF(D17 = "Select", "", "Pass"))</f>
        <v/>
      </c>
    </row>
    <row r="18">
      <c r="A18" s="99"/>
      <c r="B18" s="100"/>
      <c r="C18" s="72" t="s">
        <v>122</v>
      </c>
      <c r="D18" s="73" t="s">
        <v>66</v>
      </c>
      <c r="E18" s="49"/>
      <c r="F18" s="15"/>
      <c r="G18" s="21"/>
      <c r="H18" s="60" t="str">
        <f t="shared" si="3"/>
        <v/>
      </c>
    </row>
    <row r="19">
      <c r="A19" s="63"/>
      <c r="B19" s="100"/>
      <c r="C19" s="72" t="s">
        <v>124</v>
      </c>
      <c r="D19" s="73" t="s">
        <v>66</v>
      </c>
      <c r="E19" s="49"/>
      <c r="F19" s="15"/>
      <c r="G19" s="21"/>
      <c r="H19" s="60" t="str">
        <f t="shared" si="3"/>
        <v/>
      </c>
    </row>
    <row r="20">
      <c r="A20" s="63"/>
      <c r="B20" s="100"/>
      <c r="C20" s="72" t="s">
        <v>125</v>
      </c>
      <c r="D20" s="73" t="s">
        <v>66</v>
      </c>
      <c r="E20" s="49"/>
      <c r="F20" s="15"/>
      <c r="G20" s="21"/>
      <c r="H20" s="60" t="str">
        <f t="shared" si="3"/>
        <v/>
      </c>
    </row>
    <row r="21">
      <c r="A21" s="63"/>
      <c r="B21" s="100"/>
      <c r="C21" s="72" t="s">
        <v>128</v>
      </c>
      <c r="D21" s="73" t="s">
        <v>66</v>
      </c>
      <c r="E21" s="49"/>
      <c r="F21" s="15"/>
      <c r="G21" s="21"/>
      <c r="H21" s="60" t="str">
        <f t="shared" si="3"/>
        <v/>
      </c>
    </row>
    <row r="22">
      <c r="A22" s="63"/>
      <c r="B22" s="100"/>
      <c r="C22" s="72" t="s">
        <v>129</v>
      </c>
      <c r="D22" s="73" t="s">
        <v>66</v>
      </c>
      <c r="E22" s="49"/>
      <c r="F22" s="15"/>
      <c r="G22" s="21"/>
      <c r="H22" s="60" t="str">
        <f t="shared" si="3"/>
        <v/>
      </c>
    </row>
    <row r="23">
      <c r="A23" s="63"/>
      <c r="B23" s="100"/>
      <c r="C23" s="72" t="s">
        <v>130</v>
      </c>
      <c r="D23" s="73" t="s">
        <v>66</v>
      </c>
      <c r="E23" s="49"/>
      <c r="F23" s="15"/>
      <c r="G23" s="21"/>
      <c r="H23" s="60" t="str">
        <f t="shared" si="3"/>
        <v/>
      </c>
    </row>
    <row r="24">
      <c r="A24" s="63"/>
      <c r="B24" s="76" t="s">
        <v>526</v>
      </c>
      <c r="C24" s="77"/>
      <c r="D24" s="73" t="s">
        <v>66</v>
      </c>
      <c r="E24" s="49"/>
      <c r="F24" s="15"/>
      <c r="G24" s="21"/>
      <c r="H24" s="67" t="str">
        <f t="shared" ref="H24:H26" si="4">IF(D24="Pass", "Pass", IF(D24="Fail", "Fail", ""))
</f>
        <v/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63"/>
      <c r="B25" s="79" t="s">
        <v>527</v>
      </c>
      <c r="C25" s="69"/>
      <c r="D25" s="73" t="s">
        <v>66</v>
      </c>
      <c r="E25" s="49"/>
      <c r="F25" s="15"/>
      <c r="G25" s="21"/>
      <c r="H25" s="67" t="str">
        <f t="shared" si="4"/>
        <v/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70"/>
      <c r="B26" s="79" t="s">
        <v>528</v>
      </c>
      <c r="C26" s="21"/>
      <c r="D26" s="73" t="s">
        <v>66</v>
      </c>
      <c r="E26" s="49"/>
      <c r="F26" s="15"/>
      <c r="G26" s="21"/>
      <c r="H26" s="67" t="str">
        <f t="shared" si="4"/>
        <v/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56" t="s">
        <v>529</v>
      </c>
      <c r="B27" s="56" t="s">
        <v>65</v>
      </c>
      <c r="C27" s="57" t="s">
        <v>119</v>
      </c>
      <c r="D27" s="58" t="s">
        <v>66</v>
      </c>
      <c r="E27" s="59"/>
      <c r="F27" s="15"/>
      <c r="G27" s="21"/>
      <c r="H27" s="60" t="str">
        <f t="shared" ref="H27:H33" si="5">IF(OR(D27 = "0 - Off-Shade", D27 = "0-1 - Off-Shade/Much", D27 = "1 - Much", D27 = "1-2 - Much/Considerable", D27 = "2 - Considerable", D27 = "2-3 - Considerable/Noticeable"), "Fail", IF(D27 = "Select", "", "Pass"))</f>
        <v/>
      </c>
    </row>
    <row r="28">
      <c r="A28" s="95"/>
      <c r="B28" s="96"/>
      <c r="C28" s="57" t="s">
        <v>122</v>
      </c>
      <c r="D28" s="58" t="s">
        <v>66</v>
      </c>
      <c r="E28" s="59"/>
      <c r="F28" s="15"/>
      <c r="G28" s="21"/>
      <c r="H28" s="60" t="str">
        <f t="shared" si="5"/>
        <v/>
      </c>
    </row>
    <row r="29">
      <c r="A29" s="63"/>
      <c r="B29" s="96"/>
      <c r="C29" s="57" t="s">
        <v>124</v>
      </c>
      <c r="D29" s="58" t="s">
        <v>66</v>
      </c>
      <c r="E29" s="59"/>
      <c r="F29" s="15"/>
      <c r="G29" s="21"/>
      <c r="H29" s="60" t="str">
        <f t="shared" si="5"/>
        <v/>
      </c>
    </row>
    <row r="30">
      <c r="A30" s="63"/>
      <c r="B30" s="96"/>
      <c r="C30" s="57" t="s">
        <v>125</v>
      </c>
      <c r="D30" s="58" t="s">
        <v>66</v>
      </c>
      <c r="E30" s="59"/>
      <c r="F30" s="15"/>
      <c r="G30" s="21"/>
      <c r="H30" s="60" t="str">
        <f t="shared" si="5"/>
        <v/>
      </c>
    </row>
    <row r="31">
      <c r="A31" s="63"/>
      <c r="B31" s="96"/>
      <c r="C31" s="57" t="s">
        <v>128</v>
      </c>
      <c r="D31" s="58" t="s">
        <v>66</v>
      </c>
      <c r="E31" s="59"/>
      <c r="F31" s="15"/>
      <c r="G31" s="21"/>
      <c r="H31" s="60" t="str">
        <f t="shared" si="5"/>
        <v/>
      </c>
    </row>
    <row r="32">
      <c r="A32" s="63"/>
      <c r="B32" s="96"/>
      <c r="C32" s="57" t="s">
        <v>129</v>
      </c>
      <c r="D32" s="58" t="s">
        <v>66</v>
      </c>
      <c r="E32" s="59"/>
      <c r="F32" s="15"/>
      <c r="G32" s="21"/>
      <c r="H32" s="60" t="str">
        <f t="shared" si="5"/>
        <v/>
      </c>
    </row>
    <row r="33">
      <c r="A33" s="63"/>
      <c r="B33" s="96"/>
      <c r="C33" s="57" t="s">
        <v>130</v>
      </c>
      <c r="D33" s="58" t="s">
        <v>66</v>
      </c>
      <c r="E33" s="59"/>
      <c r="F33" s="15"/>
      <c r="G33" s="21"/>
      <c r="H33" s="60" t="str">
        <f t="shared" si="5"/>
        <v/>
      </c>
    </row>
    <row r="34">
      <c r="A34" s="63"/>
      <c r="B34" s="64" t="s">
        <v>530</v>
      </c>
      <c r="C34" s="81"/>
      <c r="D34" s="58" t="s">
        <v>66</v>
      </c>
      <c r="E34" s="59"/>
      <c r="F34" s="15"/>
      <c r="G34" s="21"/>
      <c r="H34" s="60" t="str">
        <f t="shared" ref="H34:H36" si="6">IF(D34="Pass", "Pass", IF(D34="Fail", "Fail", ""))
</f>
        <v/>
      </c>
    </row>
    <row r="35">
      <c r="A35" s="63"/>
      <c r="B35" s="68" t="s">
        <v>531</v>
      </c>
      <c r="C35" s="69"/>
      <c r="D35" s="58" t="s">
        <v>66</v>
      </c>
      <c r="E35" s="59"/>
      <c r="F35" s="15"/>
      <c r="G35" s="21"/>
      <c r="H35" s="60" t="str">
        <f t="shared" si="6"/>
        <v/>
      </c>
    </row>
    <row r="36">
      <c r="A36" s="70"/>
      <c r="B36" s="68" t="s">
        <v>532</v>
      </c>
      <c r="C36" s="21"/>
      <c r="D36" s="58" t="s">
        <v>66</v>
      </c>
      <c r="E36" s="59"/>
      <c r="F36" s="15"/>
      <c r="G36" s="21"/>
      <c r="H36" s="60" t="str">
        <f t="shared" si="6"/>
        <v/>
      </c>
    </row>
    <row r="37">
      <c r="A37" s="102" t="s">
        <v>83</v>
      </c>
      <c r="B37" s="15"/>
      <c r="C37" s="21"/>
      <c r="D37" s="54" t="s">
        <v>533</v>
      </c>
      <c r="E37" s="39"/>
      <c r="F37" s="39"/>
      <c r="G37" s="13"/>
      <c r="H37" s="55"/>
    </row>
    <row r="38">
      <c r="A38" s="103" t="s">
        <v>1</v>
      </c>
      <c r="B38" s="15"/>
      <c r="C38" s="21"/>
      <c r="D38" s="49"/>
      <c r="E38" s="15"/>
      <c r="F38" s="15"/>
      <c r="G38" s="15"/>
      <c r="H38" s="21"/>
    </row>
    <row r="39">
      <c r="A39" s="104"/>
      <c r="B39" s="104"/>
    </row>
    <row r="40">
      <c r="A40" s="104"/>
      <c r="B40" s="104"/>
    </row>
    <row r="41">
      <c r="A41" s="104"/>
      <c r="B41" s="104"/>
    </row>
    <row r="42">
      <c r="A42" s="104"/>
      <c r="B42" s="104"/>
    </row>
    <row r="43">
      <c r="A43" s="104"/>
      <c r="B43" s="104"/>
    </row>
    <row r="44">
      <c r="A44" s="104"/>
      <c r="B44" s="104"/>
    </row>
    <row r="45">
      <c r="A45" s="104"/>
      <c r="B45" s="104"/>
    </row>
    <row r="46">
      <c r="A46" s="104"/>
      <c r="B46" s="104"/>
    </row>
    <row r="47">
      <c r="A47" s="104"/>
      <c r="B47" s="104"/>
    </row>
    <row r="48">
      <c r="A48" s="104"/>
      <c r="B48" s="104"/>
    </row>
    <row r="49">
      <c r="A49" s="104"/>
      <c r="B49" s="104"/>
    </row>
    <row r="50">
      <c r="A50" s="104"/>
      <c r="B50" s="104"/>
    </row>
    <row r="51">
      <c r="A51" s="104"/>
      <c r="B51" s="104"/>
    </row>
    <row r="52">
      <c r="A52" s="104"/>
      <c r="B52" s="104"/>
    </row>
    <row r="53">
      <c r="A53" s="104"/>
      <c r="B53" s="104"/>
    </row>
    <row r="54">
      <c r="A54" s="104"/>
      <c r="B54" s="104"/>
    </row>
    <row r="55">
      <c r="A55" s="104"/>
      <c r="B55" s="104"/>
    </row>
    <row r="56">
      <c r="A56" s="104"/>
      <c r="B56" s="104"/>
    </row>
    <row r="57">
      <c r="A57" s="104"/>
      <c r="B57" s="104"/>
    </row>
    <row r="58">
      <c r="A58" s="104"/>
      <c r="B58" s="104"/>
    </row>
    <row r="59">
      <c r="A59" s="104"/>
      <c r="B59" s="104"/>
    </row>
    <row r="60">
      <c r="A60" s="104"/>
      <c r="B60" s="104"/>
    </row>
    <row r="61">
      <c r="A61" s="104"/>
      <c r="B61" s="104"/>
    </row>
    <row r="62">
      <c r="A62" s="104"/>
      <c r="B62" s="104"/>
    </row>
    <row r="63">
      <c r="A63" s="104"/>
      <c r="B63" s="104"/>
    </row>
    <row r="64">
      <c r="A64" s="104"/>
      <c r="B64" s="104"/>
    </row>
    <row r="65">
      <c r="A65" s="104"/>
      <c r="B65" s="104"/>
    </row>
    <row r="66">
      <c r="A66" s="104"/>
      <c r="B66" s="104"/>
    </row>
    <row r="67">
      <c r="A67" s="104"/>
      <c r="B67" s="104"/>
    </row>
    <row r="68">
      <c r="A68" s="104"/>
      <c r="B68" s="104"/>
    </row>
    <row r="69">
      <c r="A69" s="104"/>
      <c r="B69" s="104"/>
    </row>
    <row r="70">
      <c r="A70" s="104"/>
      <c r="B70" s="104"/>
    </row>
    <row r="71">
      <c r="A71" s="104"/>
      <c r="B71" s="104"/>
    </row>
    <row r="72">
      <c r="A72" s="104"/>
      <c r="B72" s="104"/>
    </row>
    <row r="73">
      <c r="A73" s="104"/>
      <c r="B73" s="104"/>
    </row>
    <row r="74">
      <c r="A74" s="104"/>
      <c r="B74" s="104"/>
    </row>
    <row r="75">
      <c r="A75" s="104"/>
      <c r="B75" s="104"/>
    </row>
    <row r="76">
      <c r="A76" s="104"/>
      <c r="B76" s="104"/>
    </row>
    <row r="77">
      <c r="A77" s="104"/>
      <c r="B77" s="104"/>
    </row>
    <row r="78">
      <c r="A78" s="104"/>
      <c r="B78" s="104"/>
    </row>
    <row r="79">
      <c r="A79" s="104"/>
      <c r="B79" s="104"/>
    </row>
    <row r="80">
      <c r="A80" s="104"/>
      <c r="B80" s="104"/>
    </row>
    <row r="81">
      <c r="A81" s="104"/>
      <c r="B81" s="104"/>
    </row>
    <row r="82">
      <c r="A82" s="104"/>
      <c r="B82" s="104"/>
    </row>
    <row r="83">
      <c r="A83" s="104"/>
      <c r="B83" s="104"/>
    </row>
    <row r="84">
      <c r="A84" s="104"/>
      <c r="B84" s="104"/>
    </row>
    <row r="85">
      <c r="A85" s="104"/>
      <c r="B85" s="104"/>
    </row>
    <row r="86">
      <c r="A86" s="104"/>
      <c r="B86" s="104"/>
    </row>
    <row r="87">
      <c r="A87" s="104"/>
      <c r="B87" s="104"/>
    </row>
    <row r="88">
      <c r="A88" s="104"/>
      <c r="B88" s="104"/>
    </row>
    <row r="89">
      <c r="A89" s="104"/>
      <c r="B89" s="104"/>
    </row>
    <row r="90">
      <c r="A90" s="104"/>
      <c r="B90" s="104"/>
    </row>
    <row r="91">
      <c r="A91" s="104"/>
      <c r="B91" s="104"/>
    </row>
    <row r="92">
      <c r="A92" s="104"/>
      <c r="B92" s="104"/>
    </row>
    <row r="93">
      <c r="A93" s="104"/>
      <c r="B93" s="104"/>
    </row>
    <row r="94">
      <c r="A94" s="104"/>
      <c r="B94" s="104"/>
    </row>
    <row r="95">
      <c r="A95" s="104"/>
      <c r="B95" s="104"/>
    </row>
    <row r="96">
      <c r="A96" s="104"/>
      <c r="B96" s="104"/>
    </row>
    <row r="97">
      <c r="A97" s="104"/>
      <c r="B97" s="104"/>
    </row>
    <row r="98">
      <c r="A98" s="104"/>
      <c r="B98" s="104"/>
    </row>
    <row r="99">
      <c r="A99" s="104"/>
      <c r="B99" s="104"/>
    </row>
    <row r="100">
      <c r="A100" s="104"/>
      <c r="B100" s="104"/>
    </row>
    <row r="101">
      <c r="A101" s="104"/>
      <c r="B101" s="104"/>
    </row>
    <row r="102">
      <c r="A102" s="104"/>
      <c r="B102" s="104"/>
    </row>
    <row r="103">
      <c r="A103" s="104"/>
      <c r="B103" s="104"/>
    </row>
    <row r="104">
      <c r="A104" s="104"/>
      <c r="B104" s="104"/>
    </row>
    <row r="105">
      <c r="A105" s="104"/>
      <c r="B105" s="104"/>
    </row>
    <row r="106">
      <c r="A106" s="104"/>
      <c r="B106" s="104"/>
    </row>
    <row r="107">
      <c r="A107" s="104"/>
      <c r="B107" s="104"/>
    </row>
    <row r="108">
      <c r="A108" s="104"/>
      <c r="B108" s="104"/>
    </row>
    <row r="109">
      <c r="A109" s="104"/>
      <c r="B109" s="104"/>
    </row>
    <row r="110">
      <c r="A110" s="104"/>
      <c r="B110" s="104"/>
    </row>
    <row r="111">
      <c r="A111" s="104"/>
      <c r="B111" s="104"/>
    </row>
    <row r="112">
      <c r="A112" s="104"/>
      <c r="B112" s="104"/>
    </row>
    <row r="113">
      <c r="A113" s="104"/>
      <c r="B113" s="104"/>
    </row>
    <row r="114">
      <c r="A114" s="104"/>
      <c r="B114" s="104"/>
    </row>
    <row r="115">
      <c r="A115" s="104"/>
      <c r="B115" s="104"/>
    </row>
    <row r="116">
      <c r="A116" s="104"/>
      <c r="B116" s="104"/>
    </row>
    <row r="117">
      <c r="A117" s="104"/>
      <c r="B117" s="104"/>
    </row>
    <row r="118">
      <c r="A118" s="104"/>
      <c r="B118" s="104"/>
    </row>
    <row r="119">
      <c r="A119" s="104"/>
      <c r="B119" s="104"/>
    </row>
    <row r="120">
      <c r="A120" s="104"/>
      <c r="B120" s="104"/>
    </row>
    <row r="121">
      <c r="A121" s="104"/>
      <c r="B121" s="104"/>
    </row>
    <row r="122">
      <c r="A122" s="104"/>
      <c r="B122" s="104"/>
    </row>
    <row r="123">
      <c r="A123" s="104"/>
      <c r="B123" s="104"/>
    </row>
    <row r="124">
      <c r="A124" s="104"/>
      <c r="B124" s="104"/>
    </row>
    <row r="125">
      <c r="A125" s="104"/>
      <c r="B125" s="104"/>
    </row>
    <row r="126">
      <c r="A126" s="104"/>
      <c r="B126" s="104"/>
    </row>
    <row r="127">
      <c r="A127" s="104"/>
      <c r="B127" s="104"/>
    </row>
    <row r="128">
      <c r="A128" s="104"/>
      <c r="B128" s="104"/>
    </row>
    <row r="129">
      <c r="A129" s="104"/>
      <c r="B129" s="104"/>
    </row>
    <row r="130">
      <c r="A130" s="104"/>
      <c r="B130" s="104"/>
    </row>
    <row r="131">
      <c r="A131" s="104"/>
      <c r="B131" s="104"/>
    </row>
    <row r="132">
      <c r="A132" s="104"/>
      <c r="B132" s="104"/>
    </row>
    <row r="133">
      <c r="A133" s="104"/>
      <c r="B133" s="104"/>
    </row>
    <row r="134">
      <c r="A134" s="104"/>
      <c r="B134" s="104"/>
    </row>
    <row r="135">
      <c r="A135" s="104"/>
      <c r="B135" s="104"/>
    </row>
    <row r="136">
      <c r="A136" s="104"/>
      <c r="B136" s="104"/>
    </row>
    <row r="137">
      <c r="A137" s="104"/>
      <c r="B137" s="104"/>
    </row>
    <row r="138">
      <c r="A138" s="104"/>
      <c r="B138" s="104"/>
    </row>
    <row r="139">
      <c r="A139" s="104"/>
      <c r="B139" s="104"/>
    </row>
    <row r="140">
      <c r="A140" s="104"/>
      <c r="B140" s="104"/>
    </row>
    <row r="141">
      <c r="A141" s="104"/>
      <c r="B141" s="104"/>
    </row>
    <row r="142">
      <c r="A142" s="104"/>
      <c r="B142" s="104"/>
    </row>
    <row r="143">
      <c r="A143" s="104"/>
      <c r="B143" s="104"/>
    </row>
    <row r="144">
      <c r="A144" s="104"/>
      <c r="B144" s="104"/>
    </row>
    <row r="145">
      <c r="A145" s="104"/>
      <c r="B145" s="104"/>
    </row>
    <row r="146">
      <c r="A146" s="104"/>
      <c r="B146" s="104"/>
    </row>
    <row r="147">
      <c r="A147" s="104"/>
      <c r="B147" s="104"/>
    </row>
    <row r="148">
      <c r="A148" s="104"/>
      <c r="B148" s="104"/>
    </row>
    <row r="149">
      <c r="A149" s="104"/>
      <c r="B149" s="104"/>
    </row>
    <row r="150">
      <c r="A150" s="104"/>
      <c r="B150" s="104"/>
    </row>
    <row r="151">
      <c r="A151" s="104"/>
      <c r="B151" s="104"/>
    </row>
    <row r="152">
      <c r="A152" s="104"/>
      <c r="B152" s="104"/>
    </row>
    <row r="153">
      <c r="A153" s="104"/>
      <c r="B153" s="104"/>
    </row>
    <row r="154">
      <c r="A154" s="104"/>
      <c r="B154" s="104"/>
    </row>
    <row r="155">
      <c r="A155" s="104"/>
      <c r="B155" s="104"/>
    </row>
    <row r="156">
      <c r="A156" s="104"/>
      <c r="B156" s="104"/>
    </row>
    <row r="157">
      <c r="A157" s="104"/>
      <c r="B157" s="104"/>
    </row>
    <row r="158">
      <c r="A158" s="104"/>
      <c r="B158" s="104"/>
    </row>
    <row r="159">
      <c r="A159" s="104"/>
      <c r="B159" s="104"/>
    </row>
    <row r="160">
      <c r="A160" s="104"/>
      <c r="B160" s="104"/>
    </row>
    <row r="161">
      <c r="A161" s="104"/>
      <c r="B161" s="104"/>
    </row>
    <row r="162">
      <c r="A162" s="104"/>
      <c r="B162" s="104"/>
    </row>
    <row r="163">
      <c r="A163" s="104"/>
      <c r="B163" s="104"/>
    </row>
    <row r="164">
      <c r="A164" s="104"/>
      <c r="B164" s="104"/>
    </row>
    <row r="165">
      <c r="A165" s="104"/>
      <c r="B165" s="104"/>
    </row>
    <row r="166">
      <c r="A166" s="104"/>
      <c r="B166" s="104"/>
    </row>
    <row r="167">
      <c r="A167" s="104"/>
      <c r="B167" s="104"/>
    </row>
    <row r="168">
      <c r="A168" s="104"/>
      <c r="B168" s="104"/>
    </row>
    <row r="169">
      <c r="A169" s="104"/>
      <c r="B169" s="104"/>
    </row>
    <row r="170">
      <c r="A170" s="104"/>
      <c r="B170" s="104"/>
    </row>
    <row r="171">
      <c r="A171" s="104"/>
      <c r="B171" s="104"/>
    </row>
    <row r="172">
      <c r="A172" s="104"/>
      <c r="B172" s="104"/>
    </row>
    <row r="173">
      <c r="A173" s="104"/>
      <c r="B173" s="104"/>
    </row>
    <row r="174">
      <c r="A174" s="104"/>
      <c r="B174" s="104"/>
    </row>
    <row r="175">
      <c r="A175" s="104"/>
      <c r="B175" s="104"/>
    </row>
    <row r="176">
      <c r="A176" s="104"/>
      <c r="B176" s="104"/>
    </row>
    <row r="177">
      <c r="A177" s="104"/>
      <c r="B177" s="104"/>
    </row>
    <row r="178">
      <c r="A178" s="104"/>
      <c r="B178" s="104"/>
    </row>
    <row r="179">
      <c r="A179" s="104"/>
      <c r="B179" s="104"/>
    </row>
    <row r="180">
      <c r="A180" s="104"/>
      <c r="B180" s="104"/>
    </row>
    <row r="181">
      <c r="A181" s="104"/>
      <c r="B181" s="104"/>
    </row>
    <row r="182">
      <c r="A182" s="104"/>
      <c r="B182" s="104"/>
    </row>
    <row r="183">
      <c r="A183" s="104"/>
      <c r="B183" s="104"/>
    </row>
    <row r="184">
      <c r="A184" s="104"/>
      <c r="B184" s="104"/>
    </row>
    <row r="185">
      <c r="A185" s="104"/>
      <c r="B185" s="104"/>
    </row>
    <row r="186">
      <c r="A186" s="104"/>
      <c r="B186" s="104"/>
    </row>
    <row r="187">
      <c r="A187" s="104"/>
      <c r="B187" s="104"/>
    </row>
    <row r="188">
      <c r="A188" s="104"/>
      <c r="B188" s="104"/>
    </row>
    <row r="189">
      <c r="A189" s="104"/>
      <c r="B189" s="104"/>
    </row>
    <row r="190">
      <c r="A190" s="104"/>
      <c r="B190" s="104"/>
    </row>
    <row r="191">
      <c r="A191" s="104"/>
      <c r="B191" s="104"/>
    </row>
    <row r="192">
      <c r="A192" s="104"/>
      <c r="B192" s="104"/>
    </row>
    <row r="193">
      <c r="A193" s="104"/>
      <c r="B193" s="104"/>
    </row>
    <row r="194">
      <c r="A194" s="104"/>
      <c r="B194" s="104"/>
    </row>
    <row r="195">
      <c r="A195" s="104"/>
      <c r="B195" s="104"/>
    </row>
    <row r="196">
      <c r="A196" s="104"/>
      <c r="B196" s="104"/>
    </row>
    <row r="197">
      <c r="A197" s="104"/>
      <c r="B197" s="104"/>
    </row>
    <row r="198">
      <c r="A198" s="104"/>
      <c r="B198" s="104"/>
    </row>
    <row r="199">
      <c r="A199" s="104"/>
      <c r="B199" s="104"/>
    </row>
    <row r="200">
      <c r="A200" s="104"/>
      <c r="B200" s="104"/>
    </row>
    <row r="201">
      <c r="A201" s="104"/>
      <c r="B201" s="104"/>
    </row>
    <row r="202">
      <c r="A202" s="104"/>
      <c r="B202" s="104"/>
    </row>
    <row r="203">
      <c r="A203" s="104"/>
      <c r="B203" s="104"/>
    </row>
    <row r="204">
      <c r="A204" s="104"/>
      <c r="B204" s="104"/>
    </row>
    <row r="205">
      <c r="A205" s="104"/>
      <c r="B205" s="104"/>
    </row>
    <row r="206">
      <c r="A206" s="104"/>
      <c r="B206" s="104"/>
    </row>
    <row r="207">
      <c r="A207" s="104"/>
      <c r="B207" s="104"/>
    </row>
    <row r="208">
      <c r="A208" s="104"/>
      <c r="B208" s="104"/>
    </row>
    <row r="209">
      <c r="A209" s="104"/>
      <c r="B209" s="104"/>
    </row>
    <row r="210">
      <c r="A210" s="104"/>
      <c r="B210" s="104"/>
    </row>
    <row r="211">
      <c r="A211" s="104"/>
      <c r="B211" s="104"/>
    </row>
    <row r="212">
      <c r="A212" s="104"/>
      <c r="B212" s="104"/>
    </row>
    <row r="213">
      <c r="A213" s="104"/>
      <c r="B213" s="104"/>
    </row>
    <row r="214">
      <c r="A214" s="104"/>
      <c r="B214" s="104"/>
    </row>
    <row r="215">
      <c r="A215" s="104"/>
      <c r="B215" s="104"/>
    </row>
    <row r="216">
      <c r="A216" s="104"/>
      <c r="B216" s="104"/>
    </row>
    <row r="217">
      <c r="A217" s="104"/>
      <c r="B217" s="104"/>
    </row>
    <row r="218">
      <c r="A218" s="104"/>
      <c r="B218" s="104"/>
    </row>
    <row r="219">
      <c r="A219" s="104"/>
      <c r="B219" s="104"/>
    </row>
    <row r="220">
      <c r="A220" s="104"/>
      <c r="B220" s="104"/>
    </row>
    <row r="221">
      <c r="A221" s="104"/>
      <c r="B221" s="104"/>
    </row>
    <row r="222">
      <c r="A222" s="104"/>
      <c r="B222" s="104"/>
    </row>
    <row r="223">
      <c r="A223" s="104"/>
      <c r="B223" s="104"/>
    </row>
    <row r="224">
      <c r="A224" s="104"/>
      <c r="B224" s="104"/>
    </row>
    <row r="225">
      <c r="A225" s="104"/>
      <c r="B225" s="104"/>
    </row>
    <row r="226">
      <c r="A226" s="104"/>
      <c r="B226" s="104"/>
    </row>
    <row r="227">
      <c r="A227" s="104"/>
      <c r="B227" s="104"/>
    </row>
    <row r="228">
      <c r="A228" s="104"/>
      <c r="B228" s="104"/>
    </row>
    <row r="229">
      <c r="A229" s="104"/>
      <c r="B229" s="104"/>
    </row>
    <row r="230">
      <c r="A230" s="104"/>
      <c r="B230" s="104"/>
    </row>
    <row r="231">
      <c r="A231" s="104"/>
      <c r="B231" s="104"/>
    </row>
    <row r="232">
      <c r="A232" s="104"/>
      <c r="B232" s="104"/>
    </row>
    <row r="233">
      <c r="A233" s="104"/>
      <c r="B233" s="104"/>
    </row>
    <row r="234">
      <c r="A234" s="104"/>
      <c r="B234" s="104"/>
    </row>
    <row r="235">
      <c r="A235" s="104"/>
      <c r="B235" s="104"/>
    </row>
    <row r="236">
      <c r="A236" s="104"/>
      <c r="B236" s="104"/>
    </row>
    <row r="237">
      <c r="A237" s="104"/>
      <c r="B237" s="104"/>
    </row>
    <row r="238">
      <c r="A238" s="104"/>
      <c r="B238" s="104"/>
    </row>
    <row r="239">
      <c r="A239" s="104"/>
      <c r="B239" s="104"/>
    </row>
    <row r="240">
      <c r="A240" s="104"/>
      <c r="B240" s="104"/>
    </row>
    <row r="241">
      <c r="A241" s="104"/>
      <c r="B241" s="104"/>
    </row>
    <row r="242">
      <c r="A242" s="104"/>
      <c r="B242" s="104"/>
    </row>
    <row r="243">
      <c r="A243" s="104"/>
      <c r="B243" s="104"/>
    </row>
    <row r="244">
      <c r="A244" s="104"/>
      <c r="B244" s="104"/>
    </row>
    <row r="245">
      <c r="A245" s="104"/>
      <c r="B245" s="104"/>
    </row>
    <row r="246">
      <c r="A246" s="104"/>
      <c r="B246" s="104"/>
    </row>
    <row r="247">
      <c r="A247" s="104"/>
      <c r="B247" s="104"/>
    </row>
    <row r="248">
      <c r="A248" s="104"/>
      <c r="B248" s="104"/>
    </row>
    <row r="249">
      <c r="A249" s="104"/>
      <c r="B249" s="104"/>
    </row>
    <row r="250">
      <c r="A250" s="104"/>
      <c r="B250" s="104"/>
    </row>
    <row r="251">
      <c r="A251" s="104"/>
      <c r="B251" s="104"/>
    </row>
    <row r="252">
      <c r="A252" s="104"/>
      <c r="B252" s="104"/>
    </row>
    <row r="253">
      <c r="A253" s="104"/>
      <c r="B253" s="104"/>
    </row>
    <row r="254">
      <c r="A254" s="104"/>
      <c r="B254" s="104"/>
    </row>
    <row r="255">
      <c r="A255" s="104"/>
      <c r="B255" s="104"/>
    </row>
    <row r="256">
      <c r="A256" s="104"/>
      <c r="B256" s="104"/>
    </row>
    <row r="257">
      <c r="A257" s="104"/>
      <c r="B257" s="104"/>
    </row>
    <row r="258">
      <c r="A258" s="104"/>
      <c r="B258" s="104"/>
    </row>
    <row r="259">
      <c r="A259" s="104"/>
      <c r="B259" s="104"/>
    </row>
    <row r="260">
      <c r="A260" s="104"/>
      <c r="B260" s="104"/>
    </row>
    <row r="261">
      <c r="A261" s="104"/>
      <c r="B261" s="104"/>
    </row>
    <row r="262">
      <c r="A262" s="104"/>
      <c r="B262" s="104"/>
    </row>
    <row r="263">
      <c r="A263" s="104"/>
      <c r="B263" s="104"/>
    </row>
    <row r="264">
      <c r="A264" s="104"/>
      <c r="B264" s="104"/>
    </row>
    <row r="265">
      <c r="A265" s="104"/>
      <c r="B265" s="104"/>
    </row>
    <row r="266">
      <c r="A266" s="104"/>
      <c r="B266" s="104"/>
    </row>
    <row r="267">
      <c r="A267" s="104"/>
      <c r="B267" s="104"/>
    </row>
    <row r="268">
      <c r="A268" s="104"/>
      <c r="B268" s="104"/>
    </row>
    <row r="269">
      <c r="A269" s="104"/>
      <c r="B269" s="104"/>
    </row>
    <row r="270">
      <c r="A270" s="104"/>
      <c r="B270" s="104"/>
    </row>
    <row r="271">
      <c r="A271" s="104"/>
      <c r="B271" s="104"/>
    </row>
    <row r="272">
      <c r="A272" s="104"/>
      <c r="B272" s="104"/>
    </row>
    <row r="273">
      <c r="A273" s="104"/>
      <c r="B273" s="104"/>
    </row>
    <row r="274">
      <c r="A274" s="104"/>
      <c r="B274" s="104"/>
    </row>
    <row r="275">
      <c r="A275" s="104"/>
      <c r="B275" s="104"/>
    </row>
    <row r="276">
      <c r="A276" s="104"/>
      <c r="B276" s="104"/>
    </row>
    <row r="277">
      <c r="A277" s="104"/>
      <c r="B277" s="104"/>
    </row>
    <row r="278">
      <c r="A278" s="104"/>
      <c r="B278" s="104"/>
    </row>
    <row r="279">
      <c r="A279" s="104"/>
      <c r="B279" s="104"/>
    </row>
    <row r="280">
      <c r="A280" s="104"/>
      <c r="B280" s="104"/>
    </row>
    <row r="281">
      <c r="A281" s="104"/>
      <c r="B281" s="104"/>
    </row>
    <row r="282">
      <c r="A282" s="104"/>
      <c r="B282" s="104"/>
    </row>
    <row r="283">
      <c r="A283" s="104"/>
      <c r="B283" s="104"/>
    </row>
    <row r="284">
      <c r="A284" s="104"/>
      <c r="B284" s="104"/>
    </row>
    <row r="285">
      <c r="A285" s="104"/>
      <c r="B285" s="104"/>
    </row>
    <row r="286">
      <c r="A286" s="104"/>
      <c r="B286" s="104"/>
    </row>
    <row r="287">
      <c r="A287" s="104"/>
      <c r="B287" s="104"/>
    </row>
    <row r="288">
      <c r="A288" s="104"/>
      <c r="B288" s="104"/>
    </row>
    <row r="289">
      <c r="A289" s="104"/>
      <c r="B289" s="104"/>
    </row>
    <row r="290">
      <c r="A290" s="104"/>
      <c r="B290" s="104"/>
    </row>
    <row r="291">
      <c r="A291" s="104"/>
      <c r="B291" s="104"/>
    </row>
    <row r="292">
      <c r="A292" s="104"/>
      <c r="B292" s="104"/>
    </row>
    <row r="293">
      <c r="A293" s="104"/>
      <c r="B293" s="104"/>
    </row>
    <row r="294">
      <c r="A294" s="104"/>
      <c r="B294" s="104"/>
    </row>
    <row r="295">
      <c r="A295" s="104"/>
      <c r="B295" s="104"/>
    </row>
    <row r="296">
      <c r="A296" s="104"/>
      <c r="B296" s="104"/>
    </row>
    <row r="297">
      <c r="A297" s="104"/>
      <c r="B297" s="104"/>
    </row>
    <row r="298">
      <c r="A298" s="104"/>
      <c r="B298" s="104"/>
    </row>
    <row r="299">
      <c r="A299" s="104"/>
      <c r="B299" s="104"/>
    </row>
    <row r="300">
      <c r="A300" s="104"/>
      <c r="B300" s="104"/>
    </row>
    <row r="301">
      <c r="A301" s="104"/>
      <c r="B301" s="104"/>
    </row>
    <row r="302">
      <c r="A302" s="104"/>
      <c r="B302" s="104"/>
    </row>
    <row r="303">
      <c r="A303" s="104"/>
      <c r="B303" s="104"/>
    </row>
    <row r="304">
      <c r="A304" s="104"/>
      <c r="B304" s="104"/>
    </row>
    <row r="305">
      <c r="A305" s="104"/>
      <c r="B305" s="104"/>
    </row>
    <row r="306">
      <c r="A306" s="104"/>
      <c r="B306" s="104"/>
    </row>
    <row r="307">
      <c r="A307" s="104"/>
      <c r="B307" s="104"/>
    </row>
    <row r="308">
      <c r="A308" s="104"/>
      <c r="B308" s="104"/>
    </row>
    <row r="309">
      <c r="A309" s="104"/>
      <c r="B309" s="104"/>
    </row>
    <row r="310">
      <c r="A310" s="104"/>
      <c r="B310" s="104"/>
    </row>
    <row r="311">
      <c r="A311" s="104"/>
      <c r="B311" s="104"/>
    </row>
    <row r="312">
      <c r="A312" s="104"/>
      <c r="B312" s="104"/>
    </row>
    <row r="313">
      <c r="A313" s="104"/>
      <c r="B313" s="104"/>
    </row>
    <row r="314">
      <c r="A314" s="104"/>
      <c r="B314" s="104"/>
    </row>
    <row r="315">
      <c r="A315" s="104"/>
      <c r="B315" s="104"/>
    </row>
    <row r="316">
      <c r="A316" s="104"/>
      <c r="B316" s="104"/>
    </row>
    <row r="317">
      <c r="A317" s="104"/>
      <c r="B317" s="104"/>
    </row>
    <row r="318">
      <c r="A318" s="104"/>
      <c r="B318" s="104"/>
    </row>
    <row r="319">
      <c r="A319" s="104"/>
      <c r="B319" s="104"/>
    </row>
    <row r="320">
      <c r="A320" s="104"/>
      <c r="B320" s="104"/>
    </row>
    <row r="321">
      <c r="A321" s="104"/>
      <c r="B321" s="104"/>
    </row>
    <row r="322">
      <c r="A322" s="104"/>
      <c r="B322" s="104"/>
    </row>
    <row r="323">
      <c r="A323" s="104"/>
      <c r="B323" s="104"/>
    </row>
    <row r="324">
      <c r="A324" s="104"/>
      <c r="B324" s="104"/>
    </row>
    <row r="325">
      <c r="A325" s="104"/>
      <c r="B325" s="104"/>
    </row>
    <row r="326">
      <c r="A326" s="104"/>
      <c r="B326" s="104"/>
    </row>
    <row r="327">
      <c r="A327" s="104"/>
      <c r="B327" s="104"/>
    </row>
    <row r="328">
      <c r="A328" s="104"/>
      <c r="B328" s="104"/>
    </row>
    <row r="329">
      <c r="A329" s="104"/>
      <c r="B329" s="104"/>
    </row>
    <row r="330">
      <c r="A330" s="104"/>
      <c r="B330" s="104"/>
    </row>
    <row r="331">
      <c r="A331" s="104"/>
      <c r="B331" s="104"/>
    </row>
    <row r="332">
      <c r="A332" s="104"/>
      <c r="B332" s="104"/>
    </row>
    <row r="333">
      <c r="A333" s="104"/>
      <c r="B333" s="104"/>
    </row>
    <row r="334">
      <c r="A334" s="104"/>
      <c r="B334" s="104"/>
    </row>
    <row r="335">
      <c r="A335" s="104"/>
      <c r="B335" s="104"/>
    </row>
    <row r="336">
      <c r="A336" s="104"/>
      <c r="B336" s="104"/>
    </row>
    <row r="337">
      <c r="A337" s="104"/>
      <c r="B337" s="104"/>
    </row>
    <row r="338">
      <c r="A338" s="104"/>
      <c r="B338" s="104"/>
    </row>
    <row r="339">
      <c r="A339" s="104"/>
      <c r="B339" s="104"/>
    </row>
    <row r="340">
      <c r="A340" s="104"/>
      <c r="B340" s="104"/>
    </row>
    <row r="341">
      <c r="A341" s="104"/>
      <c r="B341" s="104"/>
    </row>
    <row r="342">
      <c r="A342" s="104"/>
      <c r="B342" s="104"/>
    </row>
    <row r="343">
      <c r="A343" s="104"/>
      <c r="B343" s="104"/>
    </row>
    <row r="344">
      <c r="A344" s="104"/>
      <c r="B344" s="104"/>
    </row>
    <row r="345">
      <c r="A345" s="104"/>
      <c r="B345" s="104"/>
    </row>
    <row r="346">
      <c r="A346" s="104"/>
      <c r="B346" s="104"/>
    </row>
    <row r="347">
      <c r="A347" s="104"/>
      <c r="B347" s="104"/>
    </row>
    <row r="348">
      <c r="A348" s="104"/>
      <c r="B348" s="104"/>
    </row>
    <row r="349">
      <c r="A349" s="104"/>
      <c r="B349" s="104"/>
    </row>
    <row r="350">
      <c r="A350" s="104"/>
      <c r="B350" s="104"/>
    </row>
    <row r="351">
      <c r="A351" s="104"/>
      <c r="B351" s="104"/>
    </row>
    <row r="352">
      <c r="A352" s="104"/>
      <c r="B352" s="104"/>
    </row>
    <row r="353">
      <c r="A353" s="104"/>
      <c r="B353" s="104"/>
    </row>
    <row r="354">
      <c r="A354" s="104"/>
      <c r="B354" s="104"/>
    </row>
    <row r="355">
      <c r="A355" s="104"/>
      <c r="B355" s="104"/>
    </row>
    <row r="356">
      <c r="A356" s="104"/>
      <c r="B356" s="104"/>
    </row>
    <row r="357">
      <c r="A357" s="104"/>
      <c r="B357" s="104"/>
    </row>
    <row r="358">
      <c r="A358" s="104"/>
      <c r="B358" s="104"/>
    </row>
    <row r="359">
      <c r="A359" s="104"/>
      <c r="B359" s="104"/>
    </row>
    <row r="360">
      <c r="A360" s="104"/>
      <c r="B360" s="104"/>
    </row>
    <row r="361">
      <c r="A361" s="104"/>
      <c r="B361" s="104"/>
    </row>
    <row r="362">
      <c r="A362" s="104"/>
      <c r="B362" s="104"/>
    </row>
    <row r="363">
      <c r="A363" s="104"/>
      <c r="B363" s="104"/>
    </row>
    <row r="364">
      <c r="A364" s="104"/>
      <c r="B364" s="104"/>
    </row>
    <row r="365">
      <c r="A365" s="104"/>
      <c r="B365" s="104"/>
    </row>
    <row r="366">
      <c r="A366" s="104"/>
      <c r="B366" s="104"/>
    </row>
    <row r="367">
      <c r="A367" s="104"/>
      <c r="B367" s="104"/>
    </row>
    <row r="368">
      <c r="A368" s="104"/>
      <c r="B368" s="104"/>
    </row>
    <row r="369">
      <c r="A369" s="104"/>
      <c r="B369" s="104"/>
    </row>
    <row r="370">
      <c r="A370" s="104"/>
      <c r="B370" s="104"/>
    </row>
    <row r="371">
      <c r="A371" s="104"/>
      <c r="B371" s="104"/>
    </row>
    <row r="372">
      <c r="A372" s="104"/>
      <c r="B372" s="104"/>
    </row>
    <row r="373">
      <c r="A373" s="104"/>
      <c r="B373" s="104"/>
    </row>
    <row r="374">
      <c r="A374" s="104"/>
      <c r="B374" s="104"/>
    </row>
    <row r="375">
      <c r="A375" s="104"/>
      <c r="B375" s="104"/>
    </row>
    <row r="376">
      <c r="A376" s="104"/>
      <c r="B376" s="104"/>
    </row>
    <row r="377">
      <c r="A377" s="104"/>
      <c r="B377" s="104"/>
    </row>
    <row r="378">
      <c r="A378" s="104"/>
      <c r="B378" s="104"/>
    </row>
    <row r="379">
      <c r="A379" s="104"/>
      <c r="B379" s="104"/>
    </row>
    <row r="380">
      <c r="A380" s="104"/>
      <c r="B380" s="104"/>
    </row>
    <row r="381">
      <c r="A381" s="104"/>
      <c r="B381" s="104"/>
    </row>
    <row r="382">
      <c r="A382" s="104"/>
      <c r="B382" s="104"/>
    </row>
    <row r="383">
      <c r="A383" s="104"/>
      <c r="B383" s="104"/>
    </row>
    <row r="384">
      <c r="A384" s="104"/>
      <c r="B384" s="104"/>
    </row>
    <row r="385">
      <c r="A385" s="104"/>
      <c r="B385" s="104"/>
    </row>
    <row r="386">
      <c r="A386" s="104"/>
      <c r="B386" s="104"/>
    </row>
    <row r="387">
      <c r="A387" s="104"/>
      <c r="B387" s="104"/>
    </row>
    <row r="388">
      <c r="A388" s="104"/>
      <c r="B388" s="104"/>
    </row>
    <row r="389">
      <c r="A389" s="104"/>
      <c r="B389" s="104"/>
    </row>
    <row r="390">
      <c r="A390" s="104"/>
      <c r="B390" s="104"/>
    </row>
    <row r="391">
      <c r="A391" s="104"/>
      <c r="B391" s="104"/>
    </row>
    <row r="392">
      <c r="A392" s="104"/>
      <c r="B392" s="104"/>
    </row>
    <row r="393">
      <c r="A393" s="104"/>
      <c r="B393" s="104"/>
    </row>
    <row r="394">
      <c r="A394" s="104"/>
      <c r="B394" s="104"/>
    </row>
    <row r="395">
      <c r="A395" s="104"/>
      <c r="B395" s="104"/>
    </row>
    <row r="396">
      <c r="A396" s="104"/>
      <c r="B396" s="104"/>
    </row>
    <row r="397">
      <c r="A397" s="104"/>
      <c r="B397" s="104"/>
    </row>
    <row r="398">
      <c r="A398" s="104"/>
      <c r="B398" s="104"/>
    </row>
    <row r="399">
      <c r="A399" s="104"/>
      <c r="B399" s="104"/>
    </row>
    <row r="400">
      <c r="A400" s="104"/>
      <c r="B400" s="104"/>
    </row>
    <row r="401">
      <c r="A401" s="104"/>
      <c r="B401" s="104"/>
    </row>
    <row r="402">
      <c r="A402" s="104"/>
      <c r="B402" s="104"/>
    </row>
    <row r="403">
      <c r="A403" s="104"/>
      <c r="B403" s="104"/>
    </row>
    <row r="404">
      <c r="A404" s="104"/>
      <c r="B404" s="104"/>
    </row>
    <row r="405">
      <c r="A405" s="104"/>
      <c r="B405" s="104"/>
    </row>
    <row r="406">
      <c r="A406" s="104"/>
      <c r="B406" s="104"/>
    </row>
    <row r="407">
      <c r="A407" s="104"/>
      <c r="B407" s="104"/>
    </row>
    <row r="408">
      <c r="A408" s="104"/>
      <c r="B408" s="104"/>
    </row>
    <row r="409">
      <c r="A409" s="104"/>
      <c r="B409" s="104"/>
    </row>
    <row r="410">
      <c r="A410" s="104"/>
      <c r="B410" s="104"/>
    </row>
    <row r="411">
      <c r="A411" s="104"/>
      <c r="B411" s="104"/>
    </row>
    <row r="412">
      <c r="A412" s="104"/>
      <c r="B412" s="104"/>
    </row>
    <row r="413">
      <c r="A413" s="104"/>
      <c r="B413" s="104"/>
    </row>
    <row r="414">
      <c r="A414" s="104"/>
      <c r="B414" s="104"/>
    </row>
    <row r="415">
      <c r="A415" s="104"/>
      <c r="B415" s="104"/>
    </row>
    <row r="416">
      <c r="A416" s="104"/>
      <c r="B416" s="104"/>
    </row>
    <row r="417">
      <c r="A417" s="104"/>
      <c r="B417" s="104"/>
    </row>
    <row r="418">
      <c r="A418" s="104"/>
      <c r="B418" s="104"/>
    </row>
    <row r="419">
      <c r="A419" s="104"/>
      <c r="B419" s="104"/>
    </row>
    <row r="420">
      <c r="A420" s="104"/>
      <c r="B420" s="104"/>
    </row>
    <row r="421">
      <c r="A421" s="104"/>
      <c r="B421" s="104"/>
    </row>
    <row r="422">
      <c r="A422" s="104"/>
      <c r="B422" s="104"/>
    </row>
    <row r="423">
      <c r="A423" s="104"/>
      <c r="B423" s="104"/>
    </row>
    <row r="424">
      <c r="A424" s="104"/>
      <c r="B424" s="104"/>
    </row>
    <row r="425">
      <c r="A425" s="104"/>
      <c r="B425" s="104"/>
    </row>
    <row r="426">
      <c r="A426" s="104"/>
      <c r="B426" s="104"/>
    </row>
    <row r="427">
      <c r="A427" s="104"/>
      <c r="B427" s="104"/>
    </row>
    <row r="428">
      <c r="A428" s="104"/>
      <c r="B428" s="104"/>
    </row>
    <row r="429">
      <c r="A429" s="104"/>
      <c r="B429" s="104"/>
    </row>
    <row r="430">
      <c r="A430" s="104"/>
      <c r="B430" s="104"/>
    </row>
    <row r="431">
      <c r="A431" s="104"/>
      <c r="B431" s="104"/>
    </row>
    <row r="432">
      <c r="A432" s="104"/>
      <c r="B432" s="104"/>
    </row>
    <row r="433">
      <c r="A433" s="104"/>
      <c r="B433" s="104"/>
    </row>
    <row r="434">
      <c r="A434" s="104"/>
      <c r="B434" s="104"/>
    </row>
    <row r="435">
      <c r="A435" s="104"/>
      <c r="B435" s="104"/>
    </row>
    <row r="436">
      <c r="A436" s="104"/>
      <c r="B436" s="104"/>
    </row>
    <row r="437">
      <c r="A437" s="104"/>
      <c r="B437" s="104"/>
    </row>
    <row r="438">
      <c r="A438" s="104"/>
      <c r="B438" s="104"/>
    </row>
    <row r="439">
      <c r="A439" s="104"/>
      <c r="B439" s="104"/>
    </row>
    <row r="440">
      <c r="A440" s="104"/>
      <c r="B440" s="104"/>
    </row>
    <row r="441">
      <c r="A441" s="104"/>
      <c r="B441" s="104"/>
    </row>
    <row r="442">
      <c r="A442" s="104"/>
      <c r="B442" s="104"/>
    </row>
    <row r="443">
      <c r="A443" s="104"/>
      <c r="B443" s="104"/>
    </row>
    <row r="444">
      <c r="A444" s="104"/>
      <c r="B444" s="104"/>
    </row>
    <row r="445">
      <c r="A445" s="104"/>
      <c r="B445" s="104"/>
    </row>
    <row r="446">
      <c r="A446" s="104"/>
      <c r="B446" s="104"/>
    </row>
    <row r="447">
      <c r="A447" s="104"/>
      <c r="B447" s="104"/>
    </row>
    <row r="448">
      <c r="A448" s="104"/>
      <c r="B448" s="104"/>
    </row>
    <row r="449">
      <c r="A449" s="104"/>
      <c r="B449" s="104"/>
    </row>
    <row r="450">
      <c r="A450" s="104"/>
      <c r="B450" s="104"/>
    </row>
    <row r="451">
      <c r="A451" s="104"/>
      <c r="B451" s="104"/>
    </row>
    <row r="452">
      <c r="A452" s="104"/>
      <c r="B452" s="104"/>
    </row>
    <row r="453">
      <c r="A453" s="104"/>
      <c r="B453" s="104"/>
    </row>
    <row r="454">
      <c r="A454" s="104"/>
      <c r="B454" s="104"/>
    </row>
    <row r="455">
      <c r="A455" s="104"/>
      <c r="B455" s="104"/>
    </row>
    <row r="456">
      <c r="A456" s="104"/>
      <c r="B456" s="104"/>
    </row>
    <row r="457">
      <c r="A457" s="104"/>
      <c r="B457" s="104"/>
    </row>
    <row r="458">
      <c r="A458" s="104"/>
      <c r="B458" s="104"/>
    </row>
    <row r="459">
      <c r="A459" s="104"/>
      <c r="B459" s="104"/>
    </row>
    <row r="460">
      <c r="A460" s="104"/>
      <c r="B460" s="104"/>
    </row>
    <row r="461">
      <c r="A461" s="104"/>
      <c r="B461" s="104"/>
    </row>
    <row r="462">
      <c r="A462" s="104"/>
      <c r="B462" s="104"/>
    </row>
    <row r="463">
      <c r="A463" s="104"/>
      <c r="B463" s="104"/>
    </row>
    <row r="464">
      <c r="A464" s="104"/>
      <c r="B464" s="104"/>
    </row>
    <row r="465">
      <c r="A465" s="104"/>
      <c r="B465" s="104"/>
    </row>
    <row r="466">
      <c r="A466" s="104"/>
      <c r="B466" s="104"/>
    </row>
    <row r="467">
      <c r="A467" s="104"/>
      <c r="B467" s="104"/>
    </row>
    <row r="468">
      <c r="A468" s="104"/>
      <c r="B468" s="104"/>
    </row>
    <row r="469">
      <c r="A469" s="104"/>
      <c r="B469" s="104"/>
    </row>
    <row r="470">
      <c r="A470" s="104"/>
      <c r="B470" s="104"/>
    </row>
    <row r="471">
      <c r="A471" s="104"/>
      <c r="B471" s="104"/>
    </row>
    <row r="472">
      <c r="A472" s="104"/>
      <c r="B472" s="104"/>
    </row>
    <row r="473">
      <c r="A473" s="104"/>
      <c r="B473" s="104"/>
    </row>
    <row r="474">
      <c r="A474" s="104"/>
      <c r="B474" s="104"/>
    </row>
    <row r="475">
      <c r="A475" s="104"/>
      <c r="B475" s="104"/>
    </row>
    <row r="476">
      <c r="A476" s="104"/>
      <c r="B476" s="104"/>
    </row>
    <row r="477">
      <c r="A477" s="104"/>
      <c r="B477" s="104"/>
    </row>
    <row r="478">
      <c r="A478" s="104"/>
      <c r="B478" s="104"/>
    </row>
    <row r="479">
      <c r="A479" s="104"/>
      <c r="B479" s="104"/>
    </row>
    <row r="480">
      <c r="A480" s="104"/>
      <c r="B480" s="104"/>
    </row>
    <row r="481">
      <c r="A481" s="104"/>
      <c r="B481" s="104"/>
    </row>
    <row r="482">
      <c r="A482" s="104"/>
      <c r="B482" s="104"/>
    </row>
    <row r="483">
      <c r="A483" s="104"/>
      <c r="B483" s="104"/>
    </row>
    <row r="484">
      <c r="A484" s="104"/>
      <c r="B484" s="104"/>
    </row>
    <row r="485">
      <c r="A485" s="104"/>
      <c r="B485" s="104"/>
    </row>
    <row r="486">
      <c r="A486" s="104"/>
      <c r="B486" s="104"/>
    </row>
    <row r="487">
      <c r="A487" s="104"/>
      <c r="B487" s="104"/>
    </row>
    <row r="488">
      <c r="A488" s="104"/>
      <c r="B488" s="104"/>
    </row>
    <row r="489">
      <c r="A489" s="104"/>
      <c r="B489" s="104"/>
    </row>
    <row r="490">
      <c r="A490" s="104"/>
      <c r="B490" s="104"/>
    </row>
    <row r="491">
      <c r="A491" s="104"/>
      <c r="B491" s="104"/>
    </row>
    <row r="492">
      <c r="A492" s="104"/>
      <c r="B492" s="104"/>
    </row>
    <row r="493">
      <c r="A493" s="104"/>
      <c r="B493" s="104"/>
    </row>
    <row r="494">
      <c r="A494" s="104"/>
      <c r="B494" s="104"/>
    </row>
    <row r="495">
      <c r="A495" s="104"/>
      <c r="B495" s="104"/>
    </row>
    <row r="496">
      <c r="A496" s="104"/>
      <c r="B496" s="104"/>
    </row>
    <row r="497">
      <c r="A497" s="104"/>
      <c r="B497" s="104"/>
    </row>
    <row r="498">
      <c r="A498" s="104"/>
      <c r="B498" s="104"/>
    </row>
    <row r="499">
      <c r="A499" s="104"/>
      <c r="B499" s="104"/>
    </row>
    <row r="500">
      <c r="A500" s="104"/>
      <c r="B500" s="104"/>
    </row>
    <row r="501">
      <c r="A501" s="104"/>
      <c r="B501" s="104"/>
    </row>
    <row r="502">
      <c r="A502" s="104"/>
      <c r="B502" s="104"/>
    </row>
    <row r="503">
      <c r="A503" s="104"/>
      <c r="B503" s="104"/>
    </row>
    <row r="504">
      <c r="A504" s="104"/>
      <c r="B504" s="104"/>
    </row>
    <row r="505">
      <c r="A505" s="104"/>
      <c r="B505" s="104"/>
    </row>
    <row r="506">
      <c r="A506" s="104"/>
      <c r="B506" s="104"/>
    </row>
    <row r="507">
      <c r="A507" s="104"/>
      <c r="B507" s="104"/>
    </row>
    <row r="508">
      <c r="A508" s="104"/>
      <c r="B508" s="104"/>
    </row>
    <row r="509">
      <c r="A509" s="104"/>
      <c r="B509" s="104"/>
    </row>
    <row r="510">
      <c r="A510" s="104"/>
      <c r="B510" s="104"/>
    </row>
    <row r="511">
      <c r="A511" s="104"/>
      <c r="B511" s="104"/>
    </row>
    <row r="512">
      <c r="A512" s="104"/>
      <c r="B512" s="104"/>
    </row>
    <row r="513">
      <c r="A513" s="104"/>
      <c r="B513" s="104"/>
    </row>
    <row r="514">
      <c r="A514" s="104"/>
      <c r="B514" s="104"/>
    </row>
    <row r="515">
      <c r="A515" s="104"/>
      <c r="B515" s="104"/>
    </row>
    <row r="516">
      <c r="A516" s="104"/>
      <c r="B516" s="104"/>
    </row>
    <row r="517">
      <c r="A517" s="104"/>
      <c r="B517" s="104"/>
    </row>
    <row r="518">
      <c r="A518" s="104"/>
      <c r="B518" s="104"/>
    </row>
    <row r="519">
      <c r="A519" s="104"/>
      <c r="B519" s="104"/>
    </row>
    <row r="520">
      <c r="A520" s="104"/>
      <c r="B520" s="104"/>
    </row>
    <row r="521">
      <c r="A521" s="104"/>
      <c r="B521" s="104"/>
    </row>
    <row r="522">
      <c r="A522" s="104"/>
      <c r="B522" s="104"/>
    </row>
    <row r="523">
      <c r="A523" s="104"/>
      <c r="B523" s="104"/>
    </row>
    <row r="524">
      <c r="A524" s="104"/>
      <c r="B524" s="104"/>
    </row>
    <row r="525">
      <c r="A525" s="104"/>
      <c r="B525" s="104"/>
    </row>
    <row r="526">
      <c r="A526" s="104"/>
      <c r="B526" s="104"/>
    </row>
    <row r="527">
      <c r="A527" s="104"/>
      <c r="B527" s="104"/>
    </row>
    <row r="528">
      <c r="A528" s="104"/>
      <c r="B528" s="104"/>
    </row>
    <row r="529">
      <c r="A529" s="104"/>
      <c r="B529" s="104"/>
    </row>
    <row r="530">
      <c r="A530" s="104"/>
      <c r="B530" s="104"/>
    </row>
    <row r="531">
      <c r="A531" s="104"/>
      <c r="B531" s="104"/>
    </row>
    <row r="532">
      <c r="A532" s="104"/>
      <c r="B532" s="104"/>
    </row>
    <row r="533">
      <c r="A533" s="104"/>
      <c r="B533" s="104"/>
    </row>
    <row r="534">
      <c r="A534" s="104"/>
      <c r="B534" s="104"/>
    </row>
    <row r="535">
      <c r="A535" s="104"/>
      <c r="B535" s="104"/>
    </row>
    <row r="536">
      <c r="A536" s="104"/>
      <c r="B536" s="104"/>
    </row>
    <row r="537">
      <c r="A537" s="104"/>
      <c r="B537" s="104"/>
    </row>
    <row r="538">
      <c r="A538" s="104"/>
      <c r="B538" s="104"/>
    </row>
    <row r="539">
      <c r="A539" s="104"/>
      <c r="B539" s="104"/>
    </row>
    <row r="540">
      <c r="A540" s="104"/>
      <c r="B540" s="104"/>
    </row>
    <row r="541">
      <c r="A541" s="104"/>
      <c r="B541" s="104"/>
    </row>
    <row r="542">
      <c r="A542" s="104"/>
      <c r="B542" s="104"/>
    </row>
    <row r="543">
      <c r="A543" s="104"/>
      <c r="B543" s="104"/>
    </row>
    <row r="544">
      <c r="A544" s="104"/>
      <c r="B544" s="104"/>
    </row>
    <row r="545">
      <c r="A545" s="104"/>
      <c r="B545" s="104"/>
    </row>
    <row r="546">
      <c r="A546" s="104"/>
      <c r="B546" s="104"/>
    </row>
    <row r="547">
      <c r="A547" s="104"/>
      <c r="B547" s="104"/>
    </row>
    <row r="548">
      <c r="A548" s="104"/>
      <c r="B548" s="104"/>
    </row>
    <row r="549">
      <c r="A549" s="104"/>
      <c r="B549" s="104"/>
    </row>
    <row r="550">
      <c r="A550" s="104"/>
      <c r="B550" s="104"/>
    </row>
    <row r="551">
      <c r="A551" s="104"/>
      <c r="B551" s="104"/>
    </row>
    <row r="552">
      <c r="A552" s="104"/>
      <c r="B552" s="104"/>
    </row>
    <row r="553">
      <c r="A553" s="104"/>
      <c r="B553" s="104"/>
    </row>
    <row r="554">
      <c r="A554" s="104"/>
      <c r="B554" s="104"/>
    </row>
    <row r="555">
      <c r="A555" s="104"/>
      <c r="B555" s="104"/>
    </row>
    <row r="556">
      <c r="A556" s="104"/>
      <c r="B556" s="104"/>
    </row>
    <row r="557">
      <c r="A557" s="104"/>
      <c r="B557" s="104"/>
    </row>
    <row r="558">
      <c r="A558" s="104"/>
      <c r="B558" s="104"/>
    </row>
    <row r="559">
      <c r="A559" s="104"/>
      <c r="B559" s="104"/>
    </row>
    <row r="560">
      <c r="A560" s="104"/>
      <c r="B560" s="104"/>
    </row>
    <row r="561">
      <c r="A561" s="104"/>
      <c r="B561" s="104"/>
    </row>
    <row r="562">
      <c r="A562" s="104"/>
      <c r="B562" s="104"/>
    </row>
    <row r="563">
      <c r="A563" s="104"/>
      <c r="B563" s="104"/>
    </row>
    <row r="564">
      <c r="A564" s="104"/>
      <c r="B564" s="104"/>
    </row>
    <row r="565">
      <c r="A565" s="104"/>
      <c r="B565" s="104"/>
    </row>
    <row r="566">
      <c r="A566" s="104"/>
      <c r="B566" s="104"/>
    </row>
    <row r="567">
      <c r="A567" s="104"/>
      <c r="B567" s="104"/>
    </row>
    <row r="568">
      <c r="A568" s="104"/>
      <c r="B568" s="104"/>
    </row>
    <row r="569">
      <c r="A569" s="104"/>
      <c r="B569" s="104"/>
    </row>
    <row r="570">
      <c r="A570" s="104"/>
      <c r="B570" s="104"/>
    </row>
    <row r="571">
      <c r="A571" s="104"/>
      <c r="B571" s="104"/>
    </row>
    <row r="572">
      <c r="A572" s="104"/>
      <c r="B572" s="104"/>
    </row>
    <row r="573">
      <c r="A573" s="104"/>
      <c r="B573" s="104"/>
    </row>
    <row r="574">
      <c r="A574" s="104"/>
      <c r="B574" s="104"/>
    </row>
    <row r="575">
      <c r="A575" s="104"/>
      <c r="B575" s="104"/>
    </row>
    <row r="576">
      <c r="A576" s="104"/>
      <c r="B576" s="104"/>
    </row>
    <row r="577">
      <c r="A577" s="104"/>
      <c r="B577" s="104"/>
    </row>
    <row r="578">
      <c r="A578" s="104"/>
      <c r="B578" s="104"/>
    </row>
    <row r="579">
      <c r="A579" s="104"/>
      <c r="B579" s="104"/>
    </row>
    <row r="580">
      <c r="A580" s="104"/>
      <c r="B580" s="104"/>
    </row>
    <row r="581">
      <c r="A581" s="104"/>
      <c r="B581" s="104"/>
    </row>
    <row r="582">
      <c r="A582" s="104"/>
      <c r="B582" s="104"/>
    </row>
    <row r="583">
      <c r="A583" s="104"/>
      <c r="B583" s="104"/>
    </row>
    <row r="584">
      <c r="A584" s="104"/>
      <c r="B584" s="104"/>
    </row>
    <row r="585">
      <c r="A585" s="104"/>
      <c r="B585" s="104"/>
    </row>
    <row r="586">
      <c r="A586" s="104"/>
      <c r="B586" s="104"/>
    </row>
    <row r="587">
      <c r="A587" s="104"/>
      <c r="B587" s="104"/>
    </row>
    <row r="588">
      <c r="A588" s="104"/>
      <c r="B588" s="104"/>
    </row>
    <row r="589">
      <c r="A589" s="104"/>
      <c r="B589" s="104"/>
    </row>
    <row r="590">
      <c r="A590" s="104"/>
      <c r="B590" s="104"/>
    </row>
    <row r="591">
      <c r="A591" s="104"/>
      <c r="B591" s="104"/>
    </row>
    <row r="592">
      <c r="A592" s="104"/>
      <c r="B592" s="104"/>
    </row>
    <row r="593">
      <c r="A593" s="104"/>
      <c r="B593" s="104"/>
    </row>
    <row r="594">
      <c r="A594" s="104"/>
      <c r="B594" s="104"/>
    </row>
    <row r="595">
      <c r="A595" s="104"/>
      <c r="B595" s="104"/>
    </row>
    <row r="596">
      <c r="A596" s="104"/>
      <c r="B596" s="104"/>
    </row>
    <row r="597">
      <c r="A597" s="104"/>
      <c r="B597" s="104"/>
    </row>
    <row r="598">
      <c r="A598" s="104"/>
      <c r="B598" s="104"/>
    </row>
    <row r="599">
      <c r="A599" s="104"/>
      <c r="B599" s="104"/>
    </row>
    <row r="600">
      <c r="A600" s="104"/>
      <c r="B600" s="104"/>
    </row>
    <row r="601">
      <c r="A601" s="104"/>
      <c r="B601" s="104"/>
    </row>
    <row r="602">
      <c r="A602" s="104"/>
      <c r="B602" s="104"/>
    </row>
    <row r="603">
      <c r="A603" s="104"/>
      <c r="B603" s="104"/>
    </row>
    <row r="604">
      <c r="A604" s="104"/>
      <c r="B604" s="104"/>
    </row>
    <row r="605">
      <c r="A605" s="104"/>
      <c r="B605" s="104"/>
    </row>
    <row r="606">
      <c r="A606" s="104"/>
      <c r="B606" s="104"/>
    </row>
    <row r="607">
      <c r="A607" s="104"/>
      <c r="B607" s="104"/>
    </row>
    <row r="608">
      <c r="A608" s="104"/>
      <c r="B608" s="104"/>
    </row>
    <row r="609">
      <c r="A609" s="104"/>
      <c r="B609" s="104"/>
    </row>
    <row r="610">
      <c r="A610" s="104"/>
      <c r="B610" s="104"/>
    </row>
    <row r="611">
      <c r="A611" s="104"/>
      <c r="B611" s="104"/>
    </row>
    <row r="612">
      <c r="A612" s="104"/>
      <c r="B612" s="104"/>
    </row>
    <row r="613">
      <c r="A613" s="104"/>
      <c r="B613" s="104"/>
    </row>
    <row r="614">
      <c r="A614" s="104"/>
      <c r="B614" s="104"/>
    </row>
    <row r="615">
      <c r="A615" s="104"/>
      <c r="B615" s="104"/>
    </row>
    <row r="616">
      <c r="A616" s="104"/>
      <c r="B616" s="104"/>
    </row>
    <row r="617">
      <c r="A617" s="104"/>
      <c r="B617" s="104"/>
    </row>
    <row r="618">
      <c r="A618" s="104"/>
      <c r="B618" s="104"/>
    </row>
    <row r="619">
      <c r="A619" s="104"/>
      <c r="B619" s="104"/>
    </row>
    <row r="620">
      <c r="A620" s="104"/>
      <c r="B620" s="104"/>
    </row>
    <row r="621">
      <c r="A621" s="104"/>
      <c r="B621" s="104"/>
    </row>
    <row r="622">
      <c r="A622" s="104"/>
      <c r="B622" s="104"/>
    </row>
    <row r="623">
      <c r="A623" s="104"/>
      <c r="B623" s="104"/>
    </row>
    <row r="624">
      <c r="A624" s="104"/>
      <c r="B624" s="104"/>
    </row>
    <row r="625">
      <c r="A625" s="104"/>
      <c r="B625" s="104"/>
    </row>
    <row r="626">
      <c r="A626" s="104"/>
      <c r="B626" s="104"/>
    </row>
    <row r="627">
      <c r="A627" s="104"/>
      <c r="B627" s="104"/>
    </row>
    <row r="628">
      <c r="A628" s="104"/>
      <c r="B628" s="104"/>
    </row>
    <row r="629">
      <c r="A629" s="104"/>
      <c r="B629" s="104"/>
    </row>
    <row r="630">
      <c r="A630" s="104"/>
      <c r="B630" s="104"/>
    </row>
    <row r="631">
      <c r="A631" s="104"/>
      <c r="B631" s="104"/>
    </row>
    <row r="632">
      <c r="A632" s="104"/>
      <c r="B632" s="104"/>
    </row>
    <row r="633">
      <c r="A633" s="104"/>
      <c r="B633" s="104"/>
    </row>
    <row r="634">
      <c r="A634" s="104"/>
      <c r="B634" s="104"/>
    </row>
    <row r="635">
      <c r="A635" s="104"/>
      <c r="B635" s="104"/>
    </row>
    <row r="636">
      <c r="A636" s="104"/>
      <c r="B636" s="104"/>
    </row>
    <row r="637">
      <c r="A637" s="104"/>
      <c r="B637" s="104"/>
    </row>
    <row r="638">
      <c r="A638" s="104"/>
      <c r="B638" s="104"/>
    </row>
    <row r="639">
      <c r="A639" s="104"/>
      <c r="B639" s="104"/>
    </row>
    <row r="640">
      <c r="A640" s="104"/>
      <c r="B640" s="104"/>
    </row>
    <row r="641">
      <c r="A641" s="104"/>
      <c r="B641" s="104"/>
    </row>
    <row r="642">
      <c r="A642" s="104"/>
      <c r="B642" s="104"/>
    </row>
    <row r="643">
      <c r="A643" s="104"/>
      <c r="B643" s="104"/>
    </row>
    <row r="644">
      <c r="A644" s="104"/>
      <c r="B644" s="104"/>
    </row>
    <row r="645">
      <c r="A645" s="104"/>
      <c r="B645" s="104"/>
    </row>
    <row r="646">
      <c r="A646" s="104"/>
      <c r="B646" s="104"/>
    </row>
    <row r="647">
      <c r="A647" s="104"/>
      <c r="B647" s="104"/>
    </row>
    <row r="648">
      <c r="A648" s="104"/>
      <c r="B648" s="104"/>
    </row>
    <row r="649">
      <c r="A649" s="104"/>
      <c r="B649" s="104"/>
    </row>
    <row r="650">
      <c r="A650" s="104"/>
      <c r="B650" s="104"/>
    </row>
    <row r="651">
      <c r="A651" s="104"/>
      <c r="B651" s="104"/>
    </row>
    <row r="652">
      <c r="A652" s="104"/>
      <c r="B652" s="104"/>
    </row>
    <row r="653">
      <c r="A653" s="104"/>
      <c r="B653" s="104"/>
    </row>
    <row r="654">
      <c r="A654" s="104"/>
      <c r="B654" s="104"/>
    </row>
    <row r="655">
      <c r="A655" s="104"/>
      <c r="B655" s="104"/>
    </row>
    <row r="656">
      <c r="A656" s="104"/>
      <c r="B656" s="104"/>
    </row>
    <row r="657">
      <c r="A657" s="104"/>
      <c r="B657" s="104"/>
    </row>
    <row r="658">
      <c r="A658" s="104"/>
      <c r="B658" s="104"/>
    </row>
    <row r="659">
      <c r="A659" s="104"/>
      <c r="B659" s="104"/>
    </row>
    <row r="660">
      <c r="A660" s="104"/>
      <c r="B660" s="104"/>
    </row>
    <row r="661">
      <c r="A661" s="104"/>
      <c r="B661" s="104"/>
    </row>
    <row r="662">
      <c r="A662" s="104"/>
      <c r="B662" s="104"/>
    </row>
    <row r="663">
      <c r="A663" s="104"/>
      <c r="B663" s="104"/>
    </row>
    <row r="664">
      <c r="A664" s="104"/>
      <c r="B664" s="104"/>
    </row>
    <row r="665">
      <c r="A665" s="104"/>
      <c r="B665" s="104"/>
    </row>
    <row r="666">
      <c r="A666" s="104"/>
      <c r="B666" s="104"/>
    </row>
    <row r="667">
      <c r="A667" s="104"/>
      <c r="B667" s="104"/>
    </row>
    <row r="668">
      <c r="A668" s="104"/>
      <c r="B668" s="104"/>
    </row>
    <row r="669">
      <c r="A669" s="104"/>
      <c r="B669" s="104"/>
    </row>
    <row r="670">
      <c r="A670" s="104"/>
      <c r="B670" s="104"/>
    </row>
    <row r="671">
      <c r="A671" s="104"/>
      <c r="B671" s="104"/>
    </row>
    <row r="672">
      <c r="A672" s="104"/>
      <c r="B672" s="104"/>
    </row>
    <row r="673">
      <c r="A673" s="104"/>
      <c r="B673" s="104"/>
    </row>
    <row r="674">
      <c r="A674" s="104"/>
      <c r="B674" s="104"/>
    </row>
    <row r="675">
      <c r="A675" s="104"/>
      <c r="B675" s="104"/>
    </row>
    <row r="676">
      <c r="A676" s="104"/>
      <c r="B676" s="104"/>
    </row>
    <row r="677">
      <c r="A677" s="104"/>
      <c r="B677" s="104"/>
    </row>
    <row r="678">
      <c r="A678" s="104"/>
      <c r="B678" s="104"/>
    </row>
    <row r="679">
      <c r="A679" s="104"/>
      <c r="B679" s="104"/>
    </row>
    <row r="680">
      <c r="A680" s="104"/>
      <c r="B680" s="104"/>
    </row>
    <row r="681">
      <c r="A681" s="104"/>
      <c r="B681" s="104"/>
    </row>
    <row r="682">
      <c r="A682" s="104"/>
      <c r="B682" s="104"/>
    </row>
    <row r="683">
      <c r="A683" s="104"/>
      <c r="B683" s="104"/>
    </row>
    <row r="684">
      <c r="A684" s="104"/>
      <c r="B684" s="104"/>
    </row>
    <row r="685">
      <c r="A685" s="104"/>
      <c r="B685" s="104"/>
    </row>
    <row r="686">
      <c r="A686" s="104"/>
      <c r="B686" s="104"/>
    </row>
    <row r="687">
      <c r="A687" s="104"/>
      <c r="B687" s="104"/>
    </row>
    <row r="688">
      <c r="A688" s="104"/>
      <c r="B688" s="104"/>
    </row>
    <row r="689">
      <c r="A689" s="104"/>
      <c r="B689" s="104"/>
    </row>
    <row r="690">
      <c r="A690" s="104"/>
      <c r="B690" s="104"/>
    </row>
    <row r="691">
      <c r="A691" s="104"/>
      <c r="B691" s="104"/>
    </row>
    <row r="692">
      <c r="A692" s="104"/>
      <c r="B692" s="104"/>
    </row>
    <row r="693">
      <c r="A693" s="104"/>
      <c r="B693" s="104"/>
    </row>
    <row r="694">
      <c r="A694" s="104"/>
      <c r="B694" s="104"/>
    </row>
    <row r="695">
      <c r="A695" s="104"/>
      <c r="B695" s="104"/>
    </row>
    <row r="696">
      <c r="A696" s="104"/>
      <c r="B696" s="104"/>
    </row>
    <row r="697">
      <c r="A697" s="104"/>
      <c r="B697" s="104"/>
    </row>
    <row r="698">
      <c r="A698" s="104"/>
      <c r="B698" s="104"/>
    </row>
    <row r="699">
      <c r="A699" s="104"/>
      <c r="B699" s="104"/>
    </row>
    <row r="700">
      <c r="A700" s="104"/>
      <c r="B700" s="104"/>
    </row>
    <row r="701">
      <c r="A701" s="104"/>
      <c r="B701" s="104"/>
    </row>
    <row r="702">
      <c r="A702" s="104"/>
      <c r="B702" s="104"/>
    </row>
    <row r="703">
      <c r="A703" s="104"/>
      <c r="B703" s="104"/>
    </row>
    <row r="704">
      <c r="A704" s="104"/>
      <c r="B704" s="104"/>
    </row>
    <row r="705">
      <c r="A705" s="104"/>
      <c r="B705" s="104"/>
    </row>
    <row r="706">
      <c r="A706" s="104"/>
      <c r="B706" s="104"/>
    </row>
    <row r="707">
      <c r="A707" s="104"/>
      <c r="B707" s="104"/>
    </row>
    <row r="708">
      <c r="A708" s="104"/>
      <c r="B708" s="104"/>
    </row>
    <row r="709">
      <c r="A709" s="104"/>
      <c r="B709" s="104"/>
    </row>
    <row r="710">
      <c r="A710" s="104"/>
      <c r="B710" s="104"/>
    </row>
    <row r="711">
      <c r="A711" s="104"/>
      <c r="B711" s="104"/>
    </row>
    <row r="712">
      <c r="A712" s="104"/>
      <c r="B712" s="104"/>
    </row>
    <row r="713">
      <c r="A713" s="104"/>
      <c r="B713" s="104"/>
    </row>
    <row r="714">
      <c r="A714" s="104"/>
      <c r="B714" s="104"/>
    </row>
    <row r="715">
      <c r="A715" s="104"/>
      <c r="B715" s="104"/>
    </row>
    <row r="716">
      <c r="A716" s="104"/>
      <c r="B716" s="104"/>
    </row>
    <row r="717">
      <c r="A717" s="104"/>
      <c r="B717" s="104"/>
    </row>
    <row r="718">
      <c r="A718" s="104"/>
      <c r="B718" s="104"/>
    </row>
    <row r="719">
      <c r="A719" s="104"/>
      <c r="B719" s="104"/>
    </row>
    <row r="720">
      <c r="A720" s="104"/>
      <c r="B720" s="104"/>
    </row>
    <row r="721">
      <c r="A721" s="104"/>
      <c r="B721" s="104"/>
    </row>
    <row r="722">
      <c r="A722" s="104"/>
      <c r="B722" s="104"/>
    </row>
    <row r="723">
      <c r="A723" s="104"/>
      <c r="B723" s="104"/>
    </row>
    <row r="724">
      <c r="A724" s="104"/>
      <c r="B724" s="104"/>
    </row>
    <row r="725">
      <c r="A725" s="104"/>
      <c r="B725" s="104"/>
    </row>
    <row r="726">
      <c r="A726" s="104"/>
      <c r="B726" s="104"/>
    </row>
    <row r="727">
      <c r="A727" s="104"/>
      <c r="B727" s="104"/>
    </row>
    <row r="728">
      <c r="A728" s="104"/>
      <c r="B728" s="104"/>
    </row>
    <row r="729">
      <c r="A729" s="104"/>
      <c r="B729" s="104"/>
    </row>
    <row r="730">
      <c r="A730" s="104"/>
      <c r="B730" s="104"/>
    </row>
    <row r="731">
      <c r="A731" s="104"/>
      <c r="B731" s="104"/>
    </row>
    <row r="732">
      <c r="A732" s="104"/>
      <c r="B732" s="104"/>
    </row>
    <row r="733">
      <c r="A733" s="104"/>
      <c r="B733" s="104"/>
    </row>
    <row r="734">
      <c r="A734" s="104"/>
      <c r="B734" s="104"/>
    </row>
    <row r="735">
      <c r="A735" s="104"/>
      <c r="B735" s="104"/>
    </row>
    <row r="736">
      <c r="A736" s="104"/>
      <c r="B736" s="104"/>
    </row>
    <row r="737">
      <c r="A737" s="104"/>
      <c r="B737" s="104"/>
    </row>
    <row r="738">
      <c r="A738" s="104"/>
      <c r="B738" s="104"/>
    </row>
    <row r="739">
      <c r="A739" s="104"/>
      <c r="B739" s="104"/>
    </row>
    <row r="740">
      <c r="A740" s="104"/>
      <c r="B740" s="104"/>
    </row>
    <row r="741">
      <c r="A741" s="104"/>
      <c r="B741" s="104"/>
    </row>
    <row r="742">
      <c r="A742" s="104"/>
      <c r="B742" s="104"/>
    </row>
    <row r="743">
      <c r="A743" s="104"/>
      <c r="B743" s="104"/>
    </row>
    <row r="744">
      <c r="A744" s="104"/>
      <c r="B744" s="104"/>
    </row>
    <row r="745">
      <c r="A745" s="104"/>
      <c r="B745" s="104"/>
    </row>
    <row r="746">
      <c r="A746" s="104"/>
      <c r="B746" s="104"/>
    </row>
    <row r="747">
      <c r="A747" s="104"/>
      <c r="B747" s="104"/>
    </row>
    <row r="748">
      <c r="A748" s="104"/>
      <c r="B748" s="104"/>
    </row>
    <row r="749">
      <c r="A749" s="104"/>
      <c r="B749" s="104"/>
    </row>
    <row r="750">
      <c r="A750" s="104"/>
      <c r="B750" s="104"/>
    </row>
    <row r="751">
      <c r="A751" s="104"/>
      <c r="B751" s="104"/>
    </row>
    <row r="752">
      <c r="A752" s="104"/>
      <c r="B752" s="104"/>
    </row>
    <row r="753">
      <c r="A753" s="104"/>
      <c r="B753" s="104"/>
    </row>
    <row r="754">
      <c r="A754" s="104"/>
      <c r="B754" s="104"/>
    </row>
    <row r="755">
      <c r="A755" s="104"/>
      <c r="B755" s="104"/>
    </row>
    <row r="756">
      <c r="A756" s="104"/>
      <c r="B756" s="104"/>
    </row>
    <row r="757">
      <c r="A757" s="104"/>
      <c r="B757" s="104"/>
    </row>
    <row r="758">
      <c r="A758" s="104"/>
      <c r="B758" s="104"/>
    </row>
    <row r="759">
      <c r="A759" s="104"/>
      <c r="B759" s="104"/>
    </row>
    <row r="760">
      <c r="A760" s="104"/>
      <c r="B760" s="104"/>
    </row>
    <row r="761">
      <c r="A761" s="104"/>
      <c r="B761" s="104"/>
    </row>
    <row r="762">
      <c r="A762" s="104"/>
      <c r="B762" s="104"/>
    </row>
    <row r="763">
      <c r="A763" s="104"/>
      <c r="B763" s="104"/>
    </row>
    <row r="764">
      <c r="A764" s="104"/>
      <c r="B764" s="104"/>
    </row>
    <row r="765">
      <c r="A765" s="104"/>
      <c r="B765" s="104"/>
    </row>
    <row r="766">
      <c r="A766" s="104"/>
      <c r="B766" s="104"/>
    </row>
    <row r="767">
      <c r="A767" s="104"/>
      <c r="B767" s="104"/>
    </row>
    <row r="768">
      <c r="A768" s="104"/>
      <c r="B768" s="104"/>
    </row>
    <row r="769">
      <c r="A769" s="104"/>
      <c r="B769" s="104"/>
    </row>
    <row r="770">
      <c r="A770" s="104"/>
      <c r="B770" s="104"/>
    </row>
    <row r="771">
      <c r="A771" s="104"/>
      <c r="B771" s="104"/>
    </row>
    <row r="772">
      <c r="A772" s="104"/>
      <c r="B772" s="104"/>
    </row>
    <row r="773">
      <c r="A773" s="104"/>
      <c r="B773" s="104"/>
    </row>
    <row r="774">
      <c r="A774" s="104"/>
      <c r="B774" s="104"/>
    </row>
    <row r="775">
      <c r="A775" s="104"/>
      <c r="B775" s="104"/>
    </row>
    <row r="776">
      <c r="A776" s="104"/>
      <c r="B776" s="104"/>
    </row>
    <row r="777">
      <c r="A777" s="104"/>
      <c r="B777" s="104"/>
    </row>
    <row r="778">
      <c r="A778" s="104"/>
      <c r="B778" s="104"/>
    </row>
    <row r="779">
      <c r="A779" s="104"/>
      <c r="B779" s="104"/>
    </row>
    <row r="780">
      <c r="A780" s="104"/>
      <c r="B780" s="104"/>
    </row>
    <row r="781">
      <c r="A781" s="104"/>
      <c r="B781" s="104"/>
    </row>
    <row r="782">
      <c r="A782" s="104"/>
      <c r="B782" s="104"/>
    </row>
    <row r="783">
      <c r="A783" s="104"/>
      <c r="B783" s="104"/>
    </row>
    <row r="784">
      <c r="A784" s="104"/>
      <c r="B784" s="104"/>
    </row>
    <row r="785">
      <c r="A785" s="104"/>
      <c r="B785" s="104"/>
    </row>
    <row r="786">
      <c r="A786" s="104"/>
      <c r="B786" s="104"/>
    </row>
    <row r="787">
      <c r="A787" s="104"/>
      <c r="B787" s="104"/>
    </row>
    <row r="788">
      <c r="A788" s="104"/>
      <c r="B788" s="104"/>
    </row>
    <row r="789">
      <c r="A789" s="104"/>
      <c r="B789" s="104"/>
    </row>
    <row r="790">
      <c r="A790" s="104"/>
      <c r="B790" s="104"/>
    </row>
    <row r="791">
      <c r="A791" s="104"/>
      <c r="B791" s="104"/>
    </row>
    <row r="792">
      <c r="A792" s="104"/>
      <c r="B792" s="104"/>
    </row>
    <row r="793">
      <c r="A793" s="104"/>
      <c r="B793" s="104"/>
    </row>
    <row r="794">
      <c r="A794" s="104"/>
      <c r="B794" s="104"/>
    </row>
    <row r="795">
      <c r="A795" s="104"/>
      <c r="B795" s="104"/>
    </row>
    <row r="796">
      <c r="A796" s="104"/>
      <c r="B796" s="104"/>
    </row>
    <row r="797">
      <c r="A797" s="104"/>
      <c r="B797" s="104"/>
    </row>
    <row r="798">
      <c r="A798" s="104"/>
      <c r="B798" s="104"/>
    </row>
    <row r="799">
      <c r="A799" s="104"/>
      <c r="B799" s="104"/>
    </row>
    <row r="800">
      <c r="A800" s="104"/>
      <c r="B800" s="104"/>
    </row>
    <row r="801">
      <c r="A801" s="104"/>
      <c r="B801" s="104"/>
    </row>
    <row r="802">
      <c r="A802" s="104"/>
      <c r="B802" s="104"/>
    </row>
    <row r="803">
      <c r="A803" s="104"/>
      <c r="B803" s="104"/>
    </row>
    <row r="804">
      <c r="A804" s="104"/>
      <c r="B804" s="104"/>
    </row>
    <row r="805">
      <c r="A805" s="104"/>
      <c r="B805" s="104"/>
    </row>
    <row r="806">
      <c r="A806" s="104"/>
      <c r="B806" s="104"/>
    </row>
    <row r="807">
      <c r="A807" s="104"/>
      <c r="B807" s="104"/>
    </row>
    <row r="808">
      <c r="A808" s="104"/>
      <c r="B808" s="104"/>
    </row>
    <row r="809">
      <c r="A809" s="104"/>
      <c r="B809" s="104"/>
    </row>
    <row r="810">
      <c r="A810" s="104"/>
      <c r="B810" s="104"/>
    </row>
    <row r="811">
      <c r="A811" s="104"/>
      <c r="B811" s="104"/>
    </row>
    <row r="812">
      <c r="A812" s="104"/>
      <c r="B812" s="104"/>
    </row>
    <row r="813">
      <c r="A813" s="104"/>
      <c r="B813" s="104"/>
    </row>
    <row r="814">
      <c r="A814" s="104"/>
      <c r="B814" s="104"/>
    </row>
    <row r="815">
      <c r="A815" s="104"/>
      <c r="B815" s="104"/>
    </row>
    <row r="816">
      <c r="A816" s="104"/>
      <c r="B816" s="104"/>
    </row>
    <row r="817">
      <c r="A817" s="104"/>
      <c r="B817" s="104"/>
    </row>
    <row r="818">
      <c r="A818" s="104"/>
      <c r="B818" s="104"/>
    </row>
    <row r="819">
      <c r="A819" s="104"/>
      <c r="B819" s="104"/>
    </row>
    <row r="820">
      <c r="A820" s="104"/>
      <c r="B820" s="104"/>
    </row>
    <row r="821">
      <c r="A821" s="104"/>
      <c r="B821" s="104"/>
    </row>
    <row r="822">
      <c r="A822" s="104"/>
      <c r="B822" s="104"/>
    </row>
    <row r="823">
      <c r="A823" s="104"/>
      <c r="B823" s="104"/>
    </row>
    <row r="824">
      <c r="A824" s="104"/>
      <c r="B824" s="104"/>
    </row>
    <row r="825">
      <c r="A825" s="104"/>
      <c r="B825" s="104"/>
    </row>
    <row r="826">
      <c r="A826" s="104"/>
      <c r="B826" s="104"/>
    </row>
    <row r="827">
      <c r="A827" s="104"/>
      <c r="B827" s="104"/>
    </row>
    <row r="828">
      <c r="A828" s="104"/>
      <c r="B828" s="104"/>
    </row>
    <row r="829">
      <c r="A829" s="104"/>
      <c r="B829" s="104"/>
    </row>
    <row r="830">
      <c r="A830" s="104"/>
      <c r="B830" s="104"/>
    </row>
    <row r="831">
      <c r="A831" s="104"/>
      <c r="B831" s="104"/>
    </row>
    <row r="832">
      <c r="A832" s="104"/>
      <c r="B832" s="104"/>
    </row>
    <row r="833">
      <c r="A833" s="104"/>
      <c r="B833" s="104"/>
    </row>
    <row r="834">
      <c r="A834" s="104"/>
      <c r="B834" s="104"/>
    </row>
    <row r="835">
      <c r="A835" s="104"/>
      <c r="B835" s="104"/>
    </row>
    <row r="836">
      <c r="A836" s="104"/>
      <c r="B836" s="104"/>
    </row>
    <row r="837">
      <c r="A837" s="104"/>
      <c r="B837" s="104"/>
    </row>
    <row r="838">
      <c r="A838" s="104"/>
      <c r="B838" s="104"/>
    </row>
    <row r="839">
      <c r="A839" s="104"/>
      <c r="B839" s="104"/>
    </row>
    <row r="840">
      <c r="A840" s="104"/>
      <c r="B840" s="104"/>
    </row>
    <row r="841">
      <c r="A841" s="104"/>
      <c r="B841" s="104"/>
    </row>
    <row r="842">
      <c r="A842" s="104"/>
      <c r="B842" s="104"/>
    </row>
    <row r="843">
      <c r="A843" s="104"/>
      <c r="B843" s="104"/>
    </row>
    <row r="844">
      <c r="A844" s="104"/>
      <c r="B844" s="104"/>
    </row>
    <row r="845">
      <c r="A845" s="104"/>
      <c r="B845" s="104"/>
    </row>
    <row r="846">
      <c r="A846" s="104"/>
      <c r="B846" s="104"/>
    </row>
    <row r="847">
      <c r="A847" s="104"/>
      <c r="B847" s="104"/>
    </row>
    <row r="848">
      <c r="A848" s="104"/>
      <c r="B848" s="104"/>
    </row>
    <row r="849">
      <c r="A849" s="104"/>
      <c r="B849" s="104"/>
    </row>
    <row r="850">
      <c r="A850" s="104"/>
      <c r="B850" s="104"/>
    </row>
    <row r="851">
      <c r="A851" s="104"/>
      <c r="B851" s="104"/>
    </row>
    <row r="852">
      <c r="A852" s="104"/>
      <c r="B852" s="104"/>
    </row>
    <row r="853">
      <c r="A853" s="104"/>
      <c r="B853" s="104"/>
    </row>
    <row r="854">
      <c r="A854" s="104"/>
      <c r="B854" s="104"/>
    </row>
    <row r="855">
      <c r="A855" s="104"/>
      <c r="B855" s="104"/>
    </row>
    <row r="856">
      <c r="A856" s="104"/>
      <c r="B856" s="104"/>
    </row>
    <row r="857">
      <c r="A857" s="104"/>
      <c r="B857" s="104"/>
    </row>
    <row r="858">
      <c r="A858" s="104"/>
      <c r="B858" s="104"/>
    </row>
    <row r="859">
      <c r="A859" s="104"/>
      <c r="B859" s="104"/>
    </row>
    <row r="860">
      <c r="A860" s="104"/>
      <c r="B860" s="104"/>
    </row>
    <row r="861">
      <c r="A861" s="104"/>
      <c r="B861" s="104"/>
    </row>
    <row r="862">
      <c r="A862" s="104"/>
      <c r="B862" s="104"/>
    </row>
    <row r="863">
      <c r="A863" s="104"/>
      <c r="B863" s="104"/>
    </row>
    <row r="864">
      <c r="A864" s="104"/>
      <c r="B864" s="104"/>
    </row>
    <row r="865">
      <c r="A865" s="104"/>
      <c r="B865" s="104"/>
    </row>
    <row r="866">
      <c r="A866" s="104"/>
      <c r="B866" s="104"/>
    </row>
    <row r="867">
      <c r="A867" s="104"/>
      <c r="B867" s="104"/>
    </row>
    <row r="868">
      <c r="A868" s="104"/>
      <c r="B868" s="104"/>
    </row>
    <row r="869">
      <c r="A869" s="104"/>
      <c r="B869" s="104"/>
    </row>
    <row r="870">
      <c r="A870" s="104"/>
      <c r="B870" s="104"/>
    </row>
    <row r="871">
      <c r="A871" s="104"/>
      <c r="B871" s="104"/>
    </row>
    <row r="872">
      <c r="A872" s="104"/>
      <c r="B872" s="104"/>
    </row>
    <row r="873">
      <c r="A873" s="104"/>
      <c r="B873" s="104"/>
    </row>
    <row r="874">
      <c r="A874" s="104"/>
      <c r="B874" s="104"/>
    </row>
    <row r="875">
      <c r="A875" s="104"/>
      <c r="B875" s="104"/>
    </row>
    <row r="876">
      <c r="A876" s="104"/>
      <c r="B876" s="104"/>
    </row>
    <row r="877">
      <c r="A877" s="104"/>
      <c r="B877" s="104"/>
    </row>
    <row r="878">
      <c r="A878" s="104"/>
      <c r="B878" s="104"/>
    </row>
    <row r="879">
      <c r="A879" s="104"/>
      <c r="B879" s="104"/>
    </row>
    <row r="880">
      <c r="A880" s="104"/>
      <c r="B880" s="104"/>
    </row>
    <row r="881">
      <c r="A881" s="104"/>
      <c r="B881" s="104"/>
    </row>
    <row r="882">
      <c r="A882" s="104"/>
      <c r="B882" s="104"/>
    </row>
    <row r="883">
      <c r="A883" s="104"/>
      <c r="B883" s="104"/>
    </row>
    <row r="884">
      <c r="A884" s="104"/>
      <c r="B884" s="104"/>
    </row>
    <row r="885">
      <c r="A885" s="104"/>
      <c r="B885" s="104"/>
    </row>
    <row r="886">
      <c r="A886" s="104"/>
      <c r="B886" s="104"/>
    </row>
    <row r="887">
      <c r="A887" s="104"/>
      <c r="B887" s="104"/>
    </row>
    <row r="888">
      <c r="A888" s="104"/>
      <c r="B888" s="104"/>
    </row>
    <row r="889">
      <c r="A889" s="104"/>
      <c r="B889" s="104"/>
    </row>
    <row r="890">
      <c r="A890" s="104"/>
      <c r="B890" s="104"/>
    </row>
    <row r="891">
      <c r="A891" s="104"/>
      <c r="B891" s="104"/>
    </row>
    <row r="892">
      <c r="A892" s="104"/>
      <c r="B892" s="104"/>
    </row>
    <row r="893">
      <c r="A893" s="104"/>
      <c r="B893" s="104"/>
    </row>
    <row r="894">
      <c r="A894" s="104"/>
      <c r="B894" s="104"/>
    </row>
    <row r="895">
      <c r="A895" s="104"/>
      <c r="B895" s="104"/>
    </row>
    <row r="896">
      <c r="A896" s="104"/>
      <c r="B896" s="104"/>
    </row>
    <row r="897">
      <c r="A897" s="104"/>
      <c r="B897" s="104"/>
    </row>
    <row r="898">
      <c r="A898" s="104"/>
      <c r="B898" s="104"/>
    </row>
    <row r="899">
      <c r="A899" s="104"/>
      <c r="B899" s="104"/>
    </row>
    <row r="900">
      <c r="A900" s="104"/>
      <c r="B900" s="104"/>
    </row>
    <row r="901">
      <c r="A901" s="104"/>
      <c r="B901" s="104"/>
    </row>
    <row r="902">
      <c r="A902" s="104"/>
      <c r="B902" s="104"/>
    </row>
    <row r="903">
      <c r="A903" s="104"/>
      <c r="B903" s="104"/>
    </row>
    <row r="904">
      <c r="A904" s="104"/>
      <c r="B904" s="104"/>
    </row>
    <row r="905">
      <c r="A905" s="104"/>
      <c r="B905" s="104"/>
    </row>
    <row r="906">
      <c r="A906" s="104"/>
      <c r="B906" s="104"/>
    </row>
    <row r="907">
      <c r="A907" s="104"/>
      <c r="B907" s="104"/>
    </row>
    <row r="908">
      <c r="A908" s="104"/>
      <c r="B908" s="104"/>
    </row>
    <row r="909">
      <c r="A909" s="104"/>
      <c r="B909" s="104"/>
    </row>
    <row r="910">
      <c r="A910" s="104"/>
      <c r="B910" s="104"/>
    </row>
    <row r="911">
      <c r="A911" s="104"/>
      <c r="B911" s="104"/>
    </row>
    <row r="912">
      <c r="A912" s="104"/>
      <c r="B912" s="104"/>
    </row>
    <row r="913">
      <c r="A913" s="104"/>
      <c r="B913" s="104"/>
    </row>
    <row r="914">
      <c r="A914" s="104"/>
      <c r="B914" s="104"/>
    </row>
    <row r="915">
      <c r="A915" s="104"/>
      <c r="B915" s="104"/>
    </row>
    <row r="916">
      <c r="A916" s="104"/>
      <c r="B916" s="104"/>
    </row>
    <row r="917">
      <c r="A917" s="104"/>
      <c r="B917" s="104"/>
    </row>
    <row r="918">
      <c r="A918" s="104"/>
      <c r="B918" s="104"/>
    </row>
    <row r="919">
      <c r="A919" s="104"/>
      <c r="B919" s="104"/>
    </row>
    <row r="920">
      <c r="A920" s="104"/>
      <c r="B920" s="104"/>
    </row>
    <row r="921">
      <c r="A921" s="104"/>
      <c r="B921" s="104"/>
    </row>
    <row r="922">
      <c r="A922" s="104"/>
      <c r="B922" s="104"/>
    </row>
    <row r="923">
      <c r="A923" s="104"/>
      <c r="B923" s="104"/>
    </row>
    <row r="924">
      <c r="A924" s="104"/>
      <c r="B924" s="104"/>
    </row>
    <row r="925">
      <c r="A925" s="104"/>
      <c r="B925" s="104"/>
    </row>
    <row r="926">
      <c r="A926" s="104"/>
      <c r="B926" s="104"/>
    </row>
    <row r="927">
      <c r="A927" s="104"/>
      <c r="B927" s="104"/>
    </row>
    <row r="928">
      <c r="A928" s="104"/>
      <c r="B928" s="104"/>
    </row>
    <row r="929">
      <c r="A929" s="104"/>
      <c r="B929" s="104"/>
    </row>
    <row r="930">
      <c r="A930" s="104"/>
      <c r="B930" s="104"/>
    </row>
    <row r="931">
      <c r="A931" s="104"/>
      <c r="B931" s="104"/>
    </row>
    <row r="932">
      <c r="A932" s="104"/>
      <c r="B932" s="104"/>
    </row>
    <row r="933">
      <c r="A933" s="104"/>
      <c r="B933" s="104"/>
    </row>
    <row r="934">
      <c r="A934" s="104"/>
      <c r="B934" s="104"/>
    </row>
    <row r="935">
      <c r="A935" s="104"/>
      <c r="B935" s="104"/>
    </row>
    <row r="936">
      <c r="A936" s="104"/>
      <c r="B936" s="104"/>
    </row>
    <row r="937">
      <c r="A937" s="104"/>
      <c r="B937" s="104"/>
    </row>
    <row r="938">
      <c r="A938" s="104"/>
      <c r="B938" s="104"/>
    </row>
    <row r="939">
      <c r="A939" s="104"/>
      <c r="B939" s="104"/>
    </row>
    <row r="940">
      <c r="A940" s="104"/>
      <c r="B940" s="104"/>
    </row>
    <row r="941">
      <c r="A941" s="104"/>
      <c r="B941" s="104"/>
    </row>
    <row r="942">
      <c r="A942" s="104"/>
      <c r="B942" s="104"/>
    </row>
    <row r="943">
      <c r="A943" s="104"/>
      <c r="B943" s="104"/>
    </row>
    <row r="944">
      <c r="A944" s="104"/>
      <c r="B944" s="104"/>
    </row>
    <row r="945">
      <c r="A945" s="104"/>
      <c r="B945" s="104"/>
    </row>
    <row r="946">
      <c r="A946" s="104"/>
      <c r="B946" s="104"/>
    </row>
    <row r="947">
      <c r="A947" s="104"/>
      <c r="B947" s="104"/>
    </row>
    <row r="948">
      <c r="A948" s="104"/>
      <c r="B948" s="104"/>
    </row>
    <row r="949">
      <c r="A949" s="104"/>
      <c r="B949" s="104"/>
    </row>
    <row r="950">
      <c r="A950" s="104"/>
      <c r="B950" s="104"/>
    </row>
    <row r="951">
      <c r="A951" s="104"/>
      <c r="B951" s="104"/>
    </row>
    <row r="952">
      <c r="A952" s="104"/>
      <c r="B952" s="104"/>
    </row>
    <row r="953">
      <c r="A953" s="104"/>
      <c r="B953" s="104"/>
    </row>
    <row r="954">
      <c r="A954" s="104"/>
      <c r="B954" s="104"/>
    </row>
    <row r="955">
      <c r="A955" s="104"/>
      <c r="B955" s="104"/>
    </row>
    <row r="956">
      <c r="A956" s="104"/>
      <c r="B956" s="104"/>
    </row>
    <row r="957">
      <c r="A957" s="104"/>
      <c r="B957" s="104"/>
    </row>
    <row r="958">
      <c r="A958" s="104"/>
      <c r="B958" s="104"/>
    </row>
    <row r="959">
      <c r="A959" s="104"/>
      <c r="B959" s="104"/>
    </row>
    <row r="960">
      <c r="A960" s="104"/>
      <c r="B960" s="104"/>
    </row>
    <row r="961">
      <c r="A961" s="104"/>
      <c r="B961" s="104"/>
    </row>
    <row r="962">
      <c r="A962" s="104"/>
      <c r="B962" s="104"/>
    </row>
    <row r="963">
      <c r="A963" s="104"/>
      <c r="B963" s="104"/>
    </row>
    <row r="964">
      <c r="A964" s="104"/>
      <c r="B964" s="104"/>
    </row>
    <row r="965">
      <c r="A965" s="104"/>
      <c r="B965" s="104"/>
    </row>
    <row r="966">
      <c r="A966" s="104"/>
      <c r="B966" s="104"/>
    </row>
    <row r="967">
      <c r="A967" s="104"/>
      <c r="B967" s="104"/>
    </row>
    <row r="968">
      <c r="A968" s="104"/>
      <c r="B968" s="104"/>
    </row>
    <row r="969">
      <c r="A969" s="104"/>
      <c r="B969" s="104"/>
    </row>
    <row r="970">
      <c r="A970" s="104"/>
      <c r="B970" s="104"/>
    </row>
    <row r="971">
      <c r="A971" s="104"/>
      <c r="B971" s="104"/>
    </row>
    <row r="972">
      <c r="A972" s="104"/>
      <c r="B972" s="104"/>
    </row>
    <row r="973">
      <c r="A973" s="104"/>
      <c r="B973" s="104"/>
    </row>
    <row r="974">
      <c r="A974" s="104"/>
      <c r="B974" s="104"/>
    </row>
    <row r="975">
      <c r="A975" s="104"/>
      <c r="B975" s="104"/>
    </row>
    <row r="976">
      <c r="A976" s="104"/>
      <c r="B976" s="104"/>
    </row>
    <row r="977">
      <c r="A977" s="104"/>
      <c r="B977" s="104"/>
    </row>
    <row r="978">
      <c r="A978" s="104"/>
      <c r="B978" s="104"/>
    </row>
    <row r="979">
      <c r="A979" s="104"/>
      <c r="B979" s="104"/>
    </row>
    <row r="980">
      <c r="A980" s="104"/>
      <c r="B980" s="104"/>
    </row>
    <row r="981">
      <c r="A981" s="104"/>
      <c r="B981" s="104"/>
    </row>
    <row r="982">
      <c r="A982" s="104"/>
      <c r="B982" s="104"/>
    </row>
    <row r="983">
      <c r="A983" s="104"/>
      <c r="B983" s="104"/>
    </row>
    <row r="984">
      <c r="A984" s="104"/>
      <c r="B984" s="104"/>
    </row>
    <row r="985">
      <c r="A985" s="104"/>
      <c r="B985" s="104"/>
    </row>
    <row r="986">
      <c r="A986" s="104"/>
      <c r="B986" s="104"/>
    </row>
    <row r="987">
      <c r="A987" s="104"/>
      <c r="B987" s="104"/>
    </row>
    <row r="988">
      <c r="A988" s="104"/>
      <c r="B988" s="104"/>
    </row>
    <row r="989">
      <c r="A989" s="104"/>
      <c r="B989" s="104"/>
    </row>
    <row r="990">
      <c r="A990" s="104"/>
      <c r="B990" s="104"/>
    </row>
    <row r="991">
      <c r="A991" s="104"/>
      <c r="B991" s="104"/>
    </row>
    <row r="992">
      <c r="A992" s="104"/>
      <c r="B992" s="104"/>
    </row>
    <row r="993">
      <c r="A993" s="104"/>
      <c r="B993" s="104"/>
    </row>
    <row r="994">
      <c r="A994" s="104"/>
      <c r="B994" s="104"/>
    </row>
    <row r="995">
      <c r="A995" s="104"/>
      <c r="B995" s="104"/>
    </row>
    <row r="996">
      <c r="A996" s="104"/>
      <c r="B996" s="104"/>
    </row>
    <row r="997">
      <c r="A997" s="104"/>
      <c r="B997" s="104"/>
    </row>
    <row r="998">
      <c r="A998" s="104"/>
      <c r="B998" s="104"/>
    </row>
    <row r="999">
      <c r="A999" s="104"/>
      <c r="B999" s="104"/>
    </row>
    <row r="1000">
      <c r="A1000" s="104"/>
      <c r="B1000" s="104"/>
    </row>
    <row r="1001">
      <c r="A1001" s="104"/>
      <c r="B1001" s="104"/>
    </row>
    <row r="1002">
      <c r="A1002" s="104"/>
      <c r="B1002" s="104"/>
    </row>
    <row r="1003">
      <c r="A1003" s="104"/>
      <c r="B1003" s="104"/>
    </row>
    <row r="1004">
      <c r="A1004" s="104"/>
      <c r="B1004" s="104"/>
    </row>
    <row r="1005">
      <c r="A1005" s="104"/>
      <c r="B1005" s="104"/>
    </row>
    <row r="1006">
      <c r="A1006" s="104"/>
      <c r="B1006" s="104"/>
    </row>
    <row r="1007">
      <c r="A1007" s="104"/>
      <c r="B1007" s="104"/>
    </row>
    <row r="1008">
      <c r="A1008" s="104"/>
      <c r="B1008" s="104"/>
    </row>
    <row r="1009">
      <c r="A1009" s="104"/>
      <c r="B1009" s="104"/>
    </row>
    <row r="1010">
      <c r="A1010" s="104"/>
      <c r="B1010" s="104"/>
    </row>
    <row r="1011">
      <c r="A1011" s="104"/>
      <c r="B1011" s="104"/>
    </row>
    <row r="1012">
      <c r="A1012" s="104"/>
      <c r="B1012" s="104"/>
    </row>
    <row r="1013">
      <c r="A1013" s="104"/>
      <c r="B1013" s="104"/>
    </row>
    <row r="1014">
      <c r="A1014" s="104"/>
      <c r="B1014" s="104"/>
    </row>
    <row r="1015">
      <c r="A1015" s="104"/>
      <c r="B1015" s="104"/>
    </row>
    <row r="1016">
      <c r="A1016" s="104"/>
      <c r="B1016" s="104"/>
    </row>
    <row r="1017">
      <c r="A1017" s="104"/>
      <c r="B1017" s="104"/>
    </row>
    <row r="1018">
      <c r="A1018" s="104"/>
      <c r="B1018" s="104"/>
    </row>
  </sheetData>
  <mergeCells count="46">
    <mergeCell ref="A1:H1"/>
    <mergeCell ref="B2:D2"/>
    <mergeCell ref="B3:D3"/>
    <mergeCell ref="A4:D4"/>
    <mergeCell ref="A5:D5"/>
    <mergeCell ref="E6:G6"/>
    <mergeCell ref="A8:A16"/>
    <mergeCell ref="E25:G25"/>
    <mergeCell ref="E26:G26"/>
    <mergeCell ref="E17:G17"/>
    <mergeCell ref="E28:G28"/>
    <mergeCell ref="E29:G29"/>
    <mergeCell ref="E30:G30"/>
    <mergeCell ref="E31:G31"/>
    <mergeCell ref="E32:G32"/>
    <mergeCell ref="E33:G33"/>
    <mergeCell ref="C34:C36"/>
    <mergeCell ref="E34:G34"/>
    <mergeCell ref="E35:G35"/>
    <mergeCell ref="E36:G36"/>
    <mergeCell ref="A37:C37"/>
    <mergeCell ref="D37:G37"/>
    <mergeCell ref="A38:C38"/>
    <mergeCell ref="D38:H38"/>
    <mergeCell ref="E13:G13"/>
    <mergeCell ref="C14:C16"/>
    <mergeCell ref="E14:G14"/>
    <mergeCell ref="E15:G15"/>
    <mergeCell ref="E16:G16"/>
    <mergeCell ref="A18:A26"/>
    <mergeCell ref="A28:A36"/>
    <mergeCell ref="E7:G7"/>
    <mergeCell ref="E8:G8"/>
    <mergeCell ref="E9:G9"/>
    <mergeCell ref="E10:G10"/>
    <mergeCell ref="E11:G11"/>
    <mergeCell ref="E12:G12"/>
    <mergeCell ref="E18:G18"/>
    <mergeCell ref="E19:G19"/>
    <mergeCell ref="E20:G20"/>
    <mergeCell ref="E21:G21"/>
    <mergeCell ref="E22:G22"/>
    <mergeCell ref="E23:G23"/>
    <mergeCell ref="C24:C26"/>
    <mergeCell ref="E24:G24"/>
    <mergeCell ref="E27:G27"/>
  </mergeCells>
  <conditionalFormatting sqref="H7:H36">
    <cfRule type="cellIs" dxfId="0" priority="1" operator="equal">
      <formula>"Pass"</formula>
    </cfRule>
  </conditionalFormatting>
  <conditionalFormatting sqref="H7:H36">
    <cfRule type="cellIs" dxfId="1" priority="2" operator="equal">
      <formula>"Fail"</formula>
    </cfRule>
  </conditionalFormatting>
  <conditionalFormatting sqref="A38:C38">
    <cfRule type="cellIs" dxfId="0" priority="3" operator="equal">
      <formula>"Pass"</formula>
    </cfRule>
  </conditionalFormatting>
  <conditionalFormatting sqref="A38:C38">
    <cfRule type="cellIs" dxfId="1" priority="4" operator="equal">
      <formula>"Fail"</formula>
    </cfRule>
  </conditionalFormatting>
  <dataValidations>
    <dataValidation type="list" allowBlank="1" showErrorMessage="1" sqref="D14:D16 D24:D26 D34:D36">
      <formula1>"Select,Pass,Fail"</formula1>
    </dataValidation>
    <dataValidation type="list" allowBlank="1" showErrorMessage="1" sqref="D7:D13 D17:D23 D27:D33">
      <formula1>"Select,0 - Off-shade,0-1 - Off-shade/Much,1 - Much,1-2 - Much/Considerable,2 - Considerable,2-3 - Considerable/Noticeable,3 - Noticeable,3-4 - Noticeable/Slight,4 - Slight,4-5 - Slight/Equal,5 - Equal"</formula1>
    </dataValidation>
  </dataValidations>
  <drawing r:id="rId1"/>
</worksheet>
</file>