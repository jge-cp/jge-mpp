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hidden" name="Lot Acceptance Sheet - 5" sheetId="2" r:id="rId6"/>
    <sheet state="hidden" name="Lot Acceptance Sheet - 2" sheetId="3" r:id="rId7"/>
    <sheet state="hidden" name="Lot Acceptance Sheet - 3" sheetId="4" r:id="rId8"/>
    <sheet state="visible" name="LotSummary" sheetId="5" r:id="rId9"/>
  </sheets>
  <definedNames/>
  <calcPr/>
</workbook>
</file>

<file path=xl/sharedStrings.xml><?xml version="1.0" encoding="utf-8"?>
<sst xmlns="http://schemas.openxmlformats.org/spreadsheetml/2006/main" count="221" uniqueCount="81">
  <si>
    <t>LOT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</si>
  <si>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</si>
  <si>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</si>
  <si>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</si>
  <si>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</si>
  <si>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</si>
  <si>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</si>
  <si>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</si>
  <si>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</si>
  <si>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</si>
  <si>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</si>
  <si>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</si>
  <si>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</si>
  <si>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</si>
  <si>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</si>
  <si>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</si>
  <si>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</si>
  <si>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</si>
  <si>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</si>
  <si>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</si>
  <si>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</si>
  <si>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</si>
  <si>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</si>
  <si>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</si>
  <si>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</si>
  <si>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</si>
  <si>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</si>
  <si>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</si>
  <si>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</si>
  <si>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</si>
  <si>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</si>
  <si>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</si>
  <si>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</si>
  <si>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</si>
  <si>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</si>
  <si>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</si>
  <si>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</si>
  <si>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</si>
  <si>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</si>
  <si>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</si>
  <si>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</si>
  <si>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</si>
  <si>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</si>
  <si>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</si>
  <si>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</si>
  <si>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</si>
  <si>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</si>
  <si>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</si>
  <si>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</si>
  <si>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</si>
  <si>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</si>
  <si>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</si>
  <si>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</si>
  <si>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</si>
  <si>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</si>
  <si>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</si>
  <si>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</si>
  <si>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</si>
  <si>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</si>
  <si>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</si>
  <si>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</si>
  <si>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</si>
  <si>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CATEKS
LOT SUMMARY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</si>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</sst>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6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color theme="1"/>
      <name val="&quot;Times New Roman&quot;"/>
    </font>
    <font>
      <color rgb="FF000000"/>
      <name val="Inherit"/>
    </font>
    <font>
      <b/>
      <sz val="14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1" fillId="4" fontId="5" numFmtId="0" xfId="0" applyAlignment="1" applyBorder="1" applyFill="1" applyFont="1">
      <alignment readingOrder="0" shrinkToFit="0" vertical="top" wrapText="1"/>
    </xf>
    <xf borderId="2" fillId="0" fontId="6" numFmtId="0" xfId="0" applyBorder="1" applyFont="1"/>
    <xf borderId="3" fillId="0" fontId="6" numFmtId="0" xfId="0" applyBorder="1" applyFont="1"/>
    <xf borderId="4" fillId="0" fontId="7" numFmtId="0" xfId="0" applyAlignment="1" applyBorder="1" applyFont="1">
      <alignment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5" fillId="0" fontId="6" numFmtId="0" xfId="0" applyBorder="1" applyFont="1"/>
    <xf borderId="6" fillId="0" fontId="6" numFmtId="0" xfId="0" applyBorder="1" applyFont="1"/>
    <xf borderId="6" fillId="0" fontId="7" numFmtId="0" xfId="0" applyAlignment="1" applyBorder="1" applyFont="1">
      <alignment shrinkToFit="0" vertical="top" wrapText="1"/>
    </xf>
    <xf borderId="6" fillId="0" fontId="9" numFmtId="0" xfId="0" applyAlignment="1" applyBorder="1" applyFont="1">
      <alignment horizontal="right" vertical="top"/>
    </xf>
    <xf borderId="6" fillId="0" fontId="9" numFmtId="0" xfId="0" applyAlignment="1" applyBorder="1" applyFont="1">
      <alignment horizontal="right" vertical="bottom"/>
    </xf>
    <xf borderId="7" fillId="0" fontId="7" numFmtId="0" xfId="0" applyAlignment="1" applyBorder="1" applyFont="1">
      <alignment horizontal="left" readingOrder="0" shrinkToFit="0" vertical="top" wrapText="1"/>
    </xf>
    <xf borderId="5" fillId="0" fontId="8" numFmtId="0" xfId="0" applyAlignment="1" applyBorder="1" applyFont="1">
      <alignment horizontal="left" readingOrder="0" shrinkToFit="0" vertical="top" wrapText="1"/>
    </xf>
    <xf borderId="6" fillId="0" fontId="10" numFmtId="0" xfId="0" applyAlignment="1" applyBorder="1" applyFont="1">
      <alignment shrinkToFit="0" wrapText="1"/>
    </xf>
    <xf borderId="6" fillId="0" fontId="9" numFmtId="0" xfId="0" applyAlignment="1" applyBorder="1" applyFont="1">
      <alignment horizontal="right"/>
    </xf>
    <xf borderId="5" fillId="0" fontId="2" numFmtId="0" xfId="0" applyBorder="1" applyFont="1"/>
    <xf borderId="6" fillId="0" fontId="9" numFmtId="49" xfId="0" applyAlignment="1" applyBorder="1" applyFont="1" applyNumberFormat="1">
      <alignment horizontal="right" vertical="top"/>
    </xf>
    <xf borderId="6" fillId="0" fontId="10" numFmtId="0" xfId="0" applyAlignment="1" applyBorder="1" applyFont="1">
      <alignment readingOrder="0" vertical="top"/>
    </xf>
    <xf borderId="4" fillId="4" fontId="7" numFmtId="0" xfId="0" applyAlignment="1" applyBorder="1" applyFont="1">
      <alignment shrinkToFit="0" vertical="top" wrapText="1"/>
    </xf>
    <xf borderId="6" fillId="4" fontId="7" numFmtId="0" xfId="0" applyAlignment="1" applyBorder="1" applyFont="1">
      <alignment shrinkToFit="0" vertical="top" wrapText="1"/>
    </xf>
    <xf borderId="1" fillId="4" fontId="7" numFmtId="0" xfId="0" applyAlignment="1" applyBorder="1" applyFont="1">
      <alignment horizontal="center" shrinkToFit="0" vertical="top" wrapText="1"/>
    </xf>
    <xf borderId="6" fillId="4" fontId="7" numFmtId="0" xfId="0" applyAlignment="1" applyBorder="1" applyFont="1">
      <alignment horizontal="center" shrinkToFit="0" vertical="top" wrapText="1"/>
    </xf>
    <xf borderId="4" fillId="5" fontId="8" numFmtId="0" xfId="0" applyAlignment="1" applyBorder="1" applyFill="1" applyFont="1">
      <alignment horizontal="right" readingOrder="0" shrinkToFit="0" vertical="top" wrapText="1"/>
    </xf>
    <xf borderId="6" fillId="5" fontId="8" numFmtId="0" xfId="0" applyAlignment="1" applyBorder="1" applyFont="1">
      <alignment horizontal="center" readingOrder="0" shrinkToFit="0" vertical="top" wrapText="1"/>
    </xf>
    <xf borderId="6" fillId="5" fontId="9" numFmtId="0" xfId="0" applyAlignment="1" applyBorder="1" applyFont="1">
      <alignment readingOrder="0" vertical="bottom"/>
    </xf>
    <xf borderId="5" fillId="5" fontId="2" numFmtId="0" xfId="0" applyBorder="1" applyFont="1"/>
    <xf borderId="7" fillId="2" fontId="11" numFmtId="0" xfId="0" applyBorder="1" applyFont="1"/>
    <xf borderId="8" fillId="5" fontId="9" numFmtId="0" xfId="0" applyAlignment="1" applyBorder="1" applyFont="1">
      <alignment readingOrder="0" vertical="top"/>
    </xf>
    <xf borderId="6" fillId="5" fontId="9" numFmtId="0" xfId="0" applyAlignment="1" applyBorder="1" applyFont="1">
      <alignment readingOrder="0" vertical="top"/>
    </xf>
    <xf borderId="8" fillId="0" fontId="6" numFmtId="0" xfId="0" applyBorder="1" applyFont="1"/>
    <xf borderId="5" fillId="5" fontId="2" numFmtId="0" xfId="0" applyAlignment="1" applyBorder="1" applyFont="1">
      <alignment readingOrder="0"/>
    </xf>
    <xf borderId="7" fillId="5" fontId="8" numFmtId="0" xfId="0" applyAlignment="1" applyBorder="1" applyFont="1">
      <alignment horizontal="right" shrinkToFit="0" vertical="top" wrapText="1"/>
    </xf>
    <xf borderId="9" fillId="5" fontId="9" numFmtId="0" xfId="0" applyAlignment="1" applyBorder="1" applyFont="1">
      <alignment vertical="bottom"/>
    </xf>
    <xf borderId="3" fillId="5" fontId="9" numFmtId="0" xfId="0" applyAlignment="1" applyBorder="1" applyFont="1">
      <alignment vertical="bottom"/>
    </xf>
    <xf borderId="3" fillId="2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4" fillId="5" fontId="8" numFmtId="0" xfId="0" applyAlignment="1" applyBorder="1" applyFont="1">
      <alignment horizontal="right" shrinkToFit="0" vertical="top" wrapText="1"/>
    </xf>
    <xf borderId="10" fillId="0" fontId="6" numFmtId="0" xfId="0" applyBorder="1" applyFont="1"/>
    <xf borderId="4" fillId="0" fontId="6" numFmtId="0" xfId="0" applyBorder="1" applyFont="1"/>
    <xf borderId="4" fillId="0" fontId="8" numFmtId="0" xfId="0" applyAlignment="1" applyBorder="1" applyFont="1">
      <alignment horizontal="right" readingOrder="0" shrinkToFit="0" vertical="top" wrapText="1"/>
    </xf>
    <xf borderId="6" fillId="0" fontId="8" numFmtId="0" xfId="0" applyAlignment="1" applyBorder="1" applyFont="1">
      <alignment horizontal="center" readingOrder="0" shrinkToFit="0" vertical="top" wrapText="1"/>
    </xf>
    <xf borderId="6" fillId="0" fontId="9" numFmtId="0" xfId="0" applyAlignment="1" applyBorder="1" applyFont="1">
      <alignment readingOrder="0" vertical="bottom"/>
    </xf>
    <xf borderId="8" fillId="0" fontId="9" numFmtId="0" xfId="0" applyAlignment="1" applyBorder="1" applyFont="1">
      <alignment readingOrder="0" vertical="top"/>
    </xf>
    <xf borderId="6" fillId="0" fontId="9" numFmtId="0" xfId="0" applyAlignment="1" applyBorder="1" applyFont="1">
      <alignment readingOrder="0" vertical="top"/>
    </xf>
    <xf borderId="7" fillId="0" fontId="8" numFmtId="0" xfId="0" applyAlignment="1" applyBorder="1" applyFont="1">
      <alignment horizontal="right" shrinkToFit="0" vertical="top" wrapText="1"/>
    </xf>
    <xf borderId="9" fillId="0" fontId="9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4" fillId="0" fontId="8" numFmtId="0" xfId="0" applyAlignment="1" applyBorder="1" applyFont="1">
      <alignment horizontal="right" shrinkToFit="0" vertical="top" wrapText="1"/>
    </xf>
    <xf borderId="4" fillId="5" fontId="8" numFmtId="0" xfId="0" applyAlignment="1" applyBorder="1" applyFont="1">
      <alignment horizontal="right" shrinkToFit="0" vertical="top" wrapText="1"/>
    </xf>
    <xf borderId="10" fillId="5" fontId="9" numFmtId="0" xfId="0" applyBorder="1" applyFont="1"/>
    <xf borderId="11" fillId="4" fontId="7" numFmtId="0" xfId="0" applyAlignment="1" applyBorder="1" applyFont="1">
      <alignment readingOrder="0" shrinkToFit="0" vertical="top" wrapText="1"/>
    </xf>
    <xf borderId="5" fillId="4" fontId="7" numFmtId="0" xfId="0" applyAlignment="1" applyBorder="1" applyFont="1">
      <alignment horizontal="center" shrinkToFit="0" vertical="top" wrapText="1"/>
    </xf>
    <xf borderId="7" fillId="4" fontId="7" numFmtId="0" xfId="0" applyAlignment="1" applyBorder="1" applyFont="1">
      <alignment horizontal="center" shrinkToFit="0" vertical="top" wrapText="1"/>
    </xf>
    <xf borderId="11" fillId="0" fontId="12" numFmtId="0" xfId="0" applyAlignment="1" applyBorder="1" applyFont="1">
      <alignment readingOrder="0" shrinkToFit="0" vertical="bottom" wrapText="1"/>
    </xf>
    <xf borderId="1" fillId="4" fontId="5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right" shrinkToFit="0" vertical="top" wrapText="1"/>
    </xf>
    <xf borderId="5" fillId="0" fontId="8" numFmtId="0" xfId="0" applyAlignment="1" applyBorder="1" applyFont="1">
      <alignment horizontal="left" shrinkToFit="0" vertical="top" wrapText="1"/>
    </xf>
    <xf borderId="7" fillId="0" fontId="7" numFmtId="0" xfId="0" applyAlignment="1" applyBorder="1" applyFont="1">
      <alignment horizontal="right" readingOrder="0" shrinkToFit="0" vertical="top" wrapText="1"/>
    </xf>
    <xf borderId="5" fillId="0" fontId="2" numFmtId="0" xfId="0" applyAlignment="1" applyBorder="1" applyFont="1">
      <alignment horizontal="right"/>
    </xf>
    <xf borderId="4" fillId="4" fontId="7" numFmtId="0" xfId="0" applyAlignment="1" applyBorder="1" applyFont="1">
      <alignment horizontal="right" shrinkToFit="0" vertical="top" wrapText="1"/>
    </xf>
    <xf borderId="6" fillId="5" fontId="8" numFmtId="0" xfId="0" applyAlignment="1" applyBorder="1" applyFont="1">
      <alignment horizontal="right" readingOrder="0" shrinkToFit="0" vertical="top" wrapText="1"/>
    </xf>
    <xf borderId="8" fillId="5" fontId="9" numFmtId="0" xfId="0" applyAlignment="1" applyBorder="1" applyFont="1">
      <alignment horizontal="right" readingOrder="0" vertical="top"/>
    </xf>
    <xf borderId="6" fillId="5" fontId="9" numFmtId="0" xfId="0" applyAlignment="1" applyBorder="1" applyFont="1">
      <alignment horizontal="right" readingOrder="0" vertical="top"/>
    </xf>
    <xf borderId="3" fillId="5" fontId="9" numFmtId="0" xfId="0" applyAlignment="1" applyBorder="1" applyFont="1">
      <alignment readingOrder="0" vertical="bottom"/>
    </xf>
    <xf borderId="7" fillId="0" fontId="13" numFmtId="0" xfId="0" applyAlignment="1" applyBorder="1" applyFont="1">
      <alignment horizontal="left"/>
    </xf>
    <xf borderId="8" fillId="0" fontId="9" numFmtId="0" xfId="0" applyAlignment="1" applyBorder="1" applyFont="1">
      <alignment horizontal="right" readingOrder="0" vertical="top"/>
    </xf>
    <xf borderId="6" fillId="0" fontId="9" numFmtId="0" xfId="0" applyAlignment="1" applyBorder="1" applyFont="1">
      <alignment horizontal="right" readingOrder="0" vertical="top"/>
    </xf>
    <xf borderId="10" fillId="0" fontId="9" numFmtId="0" xfId="0" applyBorder="1" applyFont="1"/>
    <xf borderId="11" fillId="4" fontId="7" numFmtId="0" xfId="0" applyAlignment="1" applyBorder="1" applyFont="1">
      <alignment horizontal="right" readingOrder="0" shrinkToFit="0" vertical="top" wrapText="1"/>
    </xf>
    <xf borderId="11" fillId="0" fontId="12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0" fillId="0" fontId="14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15" numFmtId="0" xfId="0" applyAlignment="1" applyFont="1">
      <alignment shrinkToFit="0" vertical="bottom" wrapText="1"/>
    </xf>
    <xf borderId="0" fillId="0" fontId="9" numFmtId="16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2" fontId="17" numFmtId="0" xfId="0" applyAlignment="1" applyBorder="1" applyFont="1">
      <alignment readingOrder="0" shrinkToFit="0" vertical="bottom" wrapText="1"/>
    </xf>
    <xf borderId="5" fillId="0" fontId="9" numFmtId="0" xfId="0" applyAlignment="1" applyBorder="1" applyFont="1">
      <alignment vertical="bottom"/>
    </xf>
    <xf borderId="5" fillId="0" fontId="9" numFmtId="49" xfId="0" applyAlignment="1" applyBorder="1" applyFont="1" applyNumberFormat="1">
      <alignment vertical="bottom"/>
    </xf>
    <xf borderId="5" fillId="0" fontId="9" numFmtId="164" xfId="0" applyAlignment="1" applyBorder="1" applyFont="1" applyNumberFormat="1">
      <alignment vertical="bottom"/>
    </xf>
    <xf borderId="4" fillId="0" fontId="18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6" fillId="0" fontId="21" numFmtId="49" xfId="0" applyAlignment="1" applyBorder="1" applyFont="1" applyNumberFormat="1">
      <alignment horizontal="center" shrinkToFit="0" vertical="center" wrapText="1"/>
    </xf>
    <xf borderId="6" fillId="0" fontId="22" numFmtId="0" xfId="0" applyAlignment="1" applyBorder="1" applyFont="1">
      <alignment horizontal="center" readingOrder="0" shrinkToFit="0" vertical="center" wrapText="1"/>
    </xf>
    <xf borderId="7" fillId="2" fontId="23" numFmtId="0" xfId="0" applyAlignment="1" applyBorder="1" applyFont="1">
      <alignment horizontal="center" readingOrder="0" shrinkToFit="0" vertical="center" wrapText="1"/>
    </xf>
    <xf borderId="7" fillId="2" fontId="24" numFmtId="0" xfId="0" applyAlignment="1" applyBorder="1" applyFont="1">
      <alignment horizontal="center" readingOrder="0" vertical="center"/>
    </xf>
    <xf borderId="7" fillId="0" fontId="25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2" numFmtId="49" xfId="0" applyFont="1" applyNumberFormat="1"/>
    <xf borderId="0" fillId="0" fontId="2" numFmtId="16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6" name="Shape 6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7" name="Shape 7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7.25"/>
  </cols>
  <sheetData>
    <row r="1">
      <c r="A1" s="1" t="str">
        <f>IFERROR(__xludf.DUMMYFUNCTION("ImportRange(""1-CgWIC4_lQ1PSbxvU-6m0ma7h9e1kvYe61wgZdv0oXM"",""FirstArticleSummary!B4:B"")"),"PUMA 220 FC - MULTICAM")</f>
        <v>PUMA 220 FC - MULTICAM</v>
      </c>
      <c r="B1" s="2" t="str">
        <f>IFERROR(__xludf.DUMMYFUNCTION("ImportRange(""1-CgWIC4_lQ1PSbxvU-6m0ma7h9e1kvYe61wgZdv0oXM"",""FirstArticleSummary!C4:C"")"),"MultiCam®")</f>
        <v>MultiCam®</v>
      </c>
      <c r="C1" s="2" t="str">
        <f t="shared" ref="C1:C1000" si="1">CONCATENATE(A1," ",B1)</f>
        <v>PUMA 220 FC - MULTICAM MultiCam®</v>
      </c>
      <c r="D1" s="3" t="str">
        <f>IFERROR(__xludf.DUMMYFUNCTION("ImportRange(""1-CgWIC4_lQ1PSbxvU-6m0ma7h9e1kvYe61wgZdv0oXM"",""DATA!A:A"")"),"")</f>
        <v/>
      </c>
      <c r="G1" s="4" t="str">
        <f>IFERROR(__xludf.DUMMYFUNCTION("ARRAYFORMULA(IF(INDEX(ARRAYFORMULA(CONDITIONAL_FORMAT_RULES(IMPORTRANGE(""FirstArticleSummary!N4:N""))), 1, 1) = ""green"", IMPORTRANGE(""1-CgWIC4_lQ1PSbxvU-6m0ma7h9e1kvYe61wgZdv0oXM"", ""DATA!A:A""), """"))"),"#NAME?")</f>
        <v>#NAME?</v>
      </c>
    </row>
    <row r="2">
      <c r="A2" s="1" t="str">
        <f>IFERROR(__xludf.DUMMYFUNCTION("""COMPUTED_VALUE"""),"PUMA 220 FC - MULTICAM")</f>
        <v>PUMA 220 FC - MULTICAM</v>
      </c>
      <c r="B2" s="2" t="str">
        <f>IFERROR(__xludf.DUMMYFUNCTION("""COMPUTED_VALUE"""),"MultiCam®")</f>
        <v>MultiCam®</v>
      </c>
      <c r="C2" s="2" t="str">
        <f t="shared" si="1"/>
        <v>PUMA 220 FC - MULTICAM MultiCam®</v>
      </c>
      <c r="D2" s="2" t="str">
        <f>IFERROR(__xludf.DUMMYFUNCTION("""COMPUTED_VALUE"""),"")</f>
        <v/>
      </c>
    </row>
    <row r="3">
      <c r="A3" s="2" t="str">
        <f>IFERROR(__xludf.DUMMYFUNCTION("""COMPUTED_VALUE"""),"PUMA 220 FC - MULTICAM")</f>
        <v>PUMA 220 FC - MULTICAM</v>
      </c>
      <c r="B3" s="2" t="str">
        <f>IFERROR(__xludf.DUMMYFUNCTION("""COMPUTED_VALUE"""),"MultiCam®")</f>
        <v>MultiCam®</v>
      </c>
      <c r="C3" s="2" t="str">
        <f t="shared" si="1"/>
        <v>PUMA 220 FC - MULTICAM MultiCam®</v>
      </c>
      <c r="D3" s="2" t="str">
        <f>IFERROR(__xludf.DUMMYFUNCTION("""COMPUTED_VALUE"""),"")</f>
        <v/>
      </c>
    </row>
    <row r="4">
      <c r="A4" s="2" t="str">
        <f>IFERROR(__xludf.DUMMYFUNCTION("""COMPUTED_VALUE"""),"PUMA 220 FC - MULTICAM")</f>
        <v>PUMA 220 FC - MULTICAM</v>
      </c>
      <c r="B4" s="2" t="str">
        <f>IFERROR(__xludf.DUMMYFUNCTION("""COMPUTED_VALUE"""),"MultiCam®")</f>
        <v>MultiCam®</v>
      </c>
      <c r="C4" s="2" t="str">
        <f t="shared" si="1"/>
        <v>PUMA 220 FC - MULTICAM MultiCam®</v>
      </c>
      <c r="D4" s="2" t="str">
        <f>IFERROR(__xludf.DUMMYFUNCTION("""COMPUTED_VALUE"""),"")</f>
        <v/>
      </c>
    </row>
    <row r="5">
      <c r="A5" s="2" t="str">
        <f>IFERROR(__xludf.DUMMYFUNCTION("""COMPUTED_VALUE"""),"PUMA 220 FC - MULTICAM")</f>
        <v>PUMA 220 FC - MULTICAM</v>
      </c>
      <c r="B5" s="2" t="str">
        <f>IFERROR(__xludf.DUMMYFUNCTION("""COMPUTED_VALUE"""),"MultiCam®")</f>
        <v>MultiCam®</v>
      </c>
      <c r="C5" s="2" t="str">
        <f t="shared" si="1"/>
        <v>PUMA 220 FC - MULTICAM MultiCam®</v>
      </c>
      <c r="D5" s="2" t="str">
        <f>IFERROR(__xludf.DUMMYFUNCTION("""COMPUTED_VALUE"""),"")</f>
        <v/>
      </c>
    </row>
    <row r="6">
      <c r="A6" s="2" t="str">
        <f>IFERROR(__xludf.DUMMYFUNCTION("""COMPUTED_VALUE"""),"PUMA 220 FC - MULTICAM")</f>
        <v>PUMA 220 FC - MULTICAM</v>
      </c>
      <c r="B6" s="2" t="str">
        <f>IFERROR(__xludf.DUMMYFUNCTION("""COMPUTED_VALUE"""),"MultiCam®")</f>
        <v>MultiCam®</v>
      </c>
      <c r="C6" s="2" t="str">
        <f t="shared" si="1"/>
        <v>PUMA 220 FC - MULTICAM MultiCam®</v>
      </c>
      <c r="D6" s="2" t="str">
        <f>IFERROR(__xludf.DUMMYFUNCTION("""COMPUTED_VALUE"""),"")</f>
        <v/>
      </c>
    </row>
    <row r="7">
      <c r="A7" s="2"/>
      <c r="B7" s="2"/>
      <c r="C7" s="2" t="str">
        <f t="shared" si="1"/>
        <v> </v>
      </c>
      <c r="D7" s="2" t="str">
        <f>IFERROR(__xludf.DUMMYFUNCTION("""COMPUTED_VALUE"""),"")</f>
        <v/>
      </c>
    </row>
    <row r="8">
      <c r="A8" s="2"/>
      <c r="B8" s="2"/>
      <c r="C8" s="2" t="str">
        <f t="shared" si="1"/>
        <v> </v>
      </c>
      <c r="D8" s="2" t="str">
        <f>IFERROR(__xludf.DUMMYFUNCTION("""COMPUTED_VALUE"""),"")</f>
        <v/>
      </c>
    </row>
    <row r="9">
      <c r="A9" s="2"/>
      <c r="B9" s="2"/>
      <c r="C9" s="2" t="str">
        <f t="shared" si="1"/>
        <v> </v>
      </c>
      <c r="D9" s="2" t="str">
        <f>IFERROR(__xludf.DUMMYFUNCTION("""COMPUTED_VALUE"""),"PUMA 220 FC - MULTICAM - MC - 0004/RND14346")</f>
        <v>PUMA 220 FC - MULTICAM - MC - 0004/RND14346</v>
      </c>
    </row>
    <row r="10">
      <c r="A10" s="2"/>
      <c r="B10" s="2"/>
      <c r="C10" s="2" t="str">
        <f t="shared" si="1"/>
        <v> </v>
      </c>
      <c r="D10" s="2" t="str">
        <f>IFERROR(__xludf.DUMMYFUNCTION("""COMPUTED_VALUE"""),"")</f>
        <v/>
      </c>
    </row>
    <row r="11">
      <c r="A11" s="2"/>
      <c r="B11" s="2"/>
      <c r="C11" s="2" t="str">
        <f t="shared" si="1"/>
        <v> </v>
      </c>
      <c r="D11" s="2" t="str">
        <f>IFERROR(__xludf.DUMMYFUNCTION("""COMPUTED_VALUE"""),"")</f>
        <v/>
      </c>
    </row>
    <row r="12">
      <c r="A12" s="2"/>
      <c r="B12" s="2"/>
      <c r="C12" s="2" t="str">
        <f t="shared" si="1"/>
        <v> </v>
      </c>
      <c r="D12" s="2" t="str">
        <f>IFERROR(__xludf.DUMMYFUNCTION("""COMPUTED_VALUE"""),"")</f>
        <v/>
      </c>
    </row>
    <row r="13">
      <c r="A13" s="2"/>
      <c r="B13" s="2"/>
      <c r="C13" s="2" t="str">
        <f t="shared" si="1"/>
        <v> </v>
      </c>
      <c r="D13" s="2" t="str">
        <f>IFERROR(__xludf.DUMMYFUNCTION("""COMPUTED_VALUE"""),"")</f>
        <v/>
      </c>
    </row>
    <row r="14">
      <c r="A14" s="2"/>
      <c r="B14" s="2"/>
      <c r="C14" s="2" t="str">
        <f t="shared" si="1"/>
        <v> </v>
      </c>
      <c r="D14" s="2" t="str">
        <f>IFERROR(__xludf.DUMMYFUNCTION("""COMPUTED_VALUE"""),"")</f>
        <v/>
      </c>
    </row>
    <row r="15">
      <c r="A15" s="2"/>
      <c r="B15" s="2"/>
      <c r="C15" s="2" t="str">
        <f t="shared" si="1"/>
        <v> </v>
      </c>
      <c r="D15" s="2" t="str">
        <f>IFERROR(__xludf.DUMMYFUNCTION("""COMPUTED_VALUE"""),"")</f>
        <v/>
      </c>
    </row>
    <row r="16">
      <c r="A16" s="2"/>
      <c r="B16" s="2"/>
      <c r="C16" s="2" t="str">
        <f t="shared" si="1"/>
        <v> </v>
      </c>
      <c r="D16" s="2" t="str">
        <f>IFERROR(__xludf.DUMMYFUNCTION("""COMPUTED_VALUE"""),"")</f>
        <v/>
      </c>
    </row>
    <row r="17">
      <c r="A17" s="2"/>
      <c r="B17" s="2"/>
      <c r="C17" s="2" t="str">
        <f t="shared" si="1"/>
        <v> </v>
      </c>
      <c r="D17" s="2" t="str">
        <f>IFERROR(__xludf.DUMMYFUNCTION("""COMPUTED_VALUE"""),"")</f>
        <v/>
      </c>
    </row>
    <row r="18">
      <c r="A18" s="2"/>
      <c r="B18" s="2"/>
      <c r="C18" s="2" t="str">
        <f t="shared" si="1"/>
        <v> </v>
      </c>
      <c r="D18" s="2" t="str">
        <f>IFERROR(__xludf.DUMMYFUNCTION("""COMPUTED_VALUE"""),"")</f>
        <v/>
      </c>
    </row>
    <row r="19">
      <c r="A19" s="2"/>
      <c r="B19" s="2"/>
      <c r="C19" s="2" t="str">
        <f t="shared" si="1"/>
        <v> </v>
      </c>
      <c r="D19" s="2" t="str">
        <f>IFERROR(__xludf.DUMMYFUNCTION("""COMPUTED_VALUE"""),"")</f>
        <v/>
      </c>
    </row>
    <row r="20">
      <c r="A20" s="2"/>
      <c r="B20" s="2"/>
      <c r="C20" s="2" t="str">
        <f t="shared" si="1"/>
        <v> </v>
      </c>
      <c r="D20" s="2" t="str">
        <f>IFERROR(__xludf.DUMMYFUNCTION("""COMPUTED_VALUE"""),"")</f>
        <v/>
      </c>
    </row>
    <row r="21">
      <c r="A21" s="2"/>
      <c r="B21" s="2"/>
      <c r="C21" s="2" t="str">
        <f t="shared" si="1"/>
        <v> </v>
      </c>
      <c r="D21" s="2" t="str">
        <f>IFERROR(__xludf.DUMMYFUNCTION("""COMPUTED_VALUE"""),"")</f>
        <v/>
      </c>
    </row>
    <row r="22">
      <c r="A22" s="2"/>
      <c r="B22" s="2"/>
      <c r="C22" s="2" t="str">
        <f t="shared" si="1"/>
        <v> </v>
      </c>
      <c r="D22" s="2" t="str">
        <f>IFERROR(__xludf.DUMMYFUNCTION("""COMPUTED_VALUE"""),"")</f>
        <v/>
      </c>
    </row>
    <row r="23">
      <c r="A23" s="2"/>
      <c r="B23" s="2"/>
      <c r="C23" s="2" t="str">
        <f t="shared" si="1"/>
        <v> </v>
      </c>
      <c r="D23" s="2" t="str">
        <f>IFERROR(__xludf.DUMMYFUNCTION("""COMPUTED_VALUE"""),"")</f>
        <v/>
      </c>
    </row>
    <row r="24">
      <c r="A24" s="2"/>
      <c r="B24" s="2"/>
      <c r="C24" s="2" t="str">
        <f t="shared" si="1"/>
        <v> </v>
      </c>
      <c r="D24" s="2" t="str">
        <f>IFERROR(__xludf.DUMMYFUNCTION("""COMPUTED_VALUE"""),"")</f>
        <v/>
      </c>
    </row>
    <row r="25">
      <c r="A25" s="2"/>
      <c r="B25" s="2"/>
      <c r="C25" s="2" t="str">
        <f t="shared" si="1"/>
        <v> </v>
      </c>
      <c r="D25" s="2" t="str">
        <f>IFERROR(__xludf.DUMMYFUNCTION("""COMPUTED_VALUE"""),"")</f>
        <v/>
      </c>
    </row>
    <row r="26">
      <c r="A26" s="2"/>
      <c r="B26" s="2"/>
      <c r="C26" s="2" t="str">
        <f t="shared" si="1"/>
        <v> </v>
      </c>
      <c r="D26" s="2" t="str">
        <f>IFERROR(__xludf.DUMMYFUNCTION("""COMPUTED_VALUE"""),"")</f>
        <v/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C738" s="2" t="str">
        <f t="shared" si="1"/>
        <v> </v>
      </c>
      <c r="D738" s="2" t="str">
        <f>IFERROR(__xludf.DUMMYFUNCTION("""COMPUTED_VALUE"""),"")</f>
        <v/>
      </c>
    </row>
    <row r="739">
      <c r="C739" s="2" t="str">
        <f t="shared" si="1"/>
        <v> </v>
      </c>
      <c r="D739" s="2" t="str">
        <f>IFERROR(__xludf.DUMMYFUNCTION("""COMPUTED_VALUE"""),"")</f>
        <v/>
      </c>
    </row>
    <row r="740">
      <c r="C740" s="2" t="str">
        <f t="shared" si="1"/>
        <v> </v>
      </c>
      <c r="D740" s="2" t="str">
        <f>IFERROR(__xludf.DUMMYFUNCTION("""COMPUTED_VALUE"""),"")</f>
        <v/>
      </c>
    </row>
    <row r="741">
      <c r="C741" s="2" t="str">
        <f t="shared" si="1"/>
        <v> </v>
      </c>
      <c r="D741" s="2"/>
    </row>
    <row r="742">
      <c r="C742" s="2" t="str">
        <f t="shared" si="1"/>
        <v> </v>
      </c>
      <c r="D742" s="2"/>
    </row>
    <row r="743">
      <c r="C743" s="2" t="str">
        <f t="shared" si="1"/>
        <v> </v>
      </c>
      <c r="D743" s="2"/>
    </row>
    <row r="744">
      <c r="C744" s="2" t="str">
        <f t="shared" si="1"/>
        <v> </v>
      </c>
      <c r="D744" s="2"/>
    </row>
    <row r="745">
      <c r="C745" s="2" t="str">
        <f t="shared" si="1"/>
        <v> </v>
      </c>
      <c r="D745" s="2"/>
    </row>
    <row r="746">
      <c r="C746" s="2" t="str">
        <f t="shared" si="1"/>
        <v> </v>
      </c>
      <c r="D746" s="2"/>
    </row>
    <row r="747">
      <c r="C747" s="2" t="str">
        <f t="shared" si="1"/>
        <v> </v>
      </c>
      <c r="D747" s="2"/>
    </row>
    <row r="748">
      <c r="C748" s="2" t="str">
        <f t="shared" si="1"/>
        <v> </v>
      </c>
      <c r="D748" s="2"/>
    </row>
    <row r="749">
      <c r="C749" s="2" t="str">
        <f t="shared" si="1"/>
        <v> </v>
      </c>
      <c r="D749" s="2"/>
    </row>
    <row r="750">
      <c r="C750" s="2" t="str">
        <f t="shared" si="1"/>
        <v> </v>
      </c>
      <c r="D750" s="2"/>
    </row>
    <row r="751">
      <c r="C751" s="2" t="str">
        <f t="shared" si="1"/>
        <v> </v>
      </c>
      <c r="D751" s="2"/>
    </row>
    <row r="752">
      <c r="C752" s="2" t="str">
        <f t="shared" si="1"/>
        <v> </v>
      </c>
      <c r="D752" s="2"/>
    </row>
    <row r="753">
      <c r="C753" s="2" t="str">
        <f t="shared" si="1"/>
        <v> </v>
      </c>
      <c r="D753" s="2"/>
    </row>
    <row r="754">
      <c r="C754" s="2" t="str">
        <f t="shared" si="1"/>
        <v> </v>
      </c>
      <c r="D754" s="2"/>
    </row>
    <row r="755">
      <c r="C755" s="2" t="str">
        <f t="shared" si="1"/>
        <v> </v>
      </c>
      <c r="D755" s="2"/>
    </row>
    <row r="756">
      <c r="C756" s="2" t="str">
        <f t="shared" si="1"/>
        <v> </v>
      </c>
      <c r="D756" s="2"/>
    </row>
    <row r="757">
      <c r="C757" s="2" t="str">
        <f t="shared" si="1"/>
        <v> </v>
      </c>
      <c r="D757" s="2"/>
    </row>
    <row r="758">
      <c r="C758" s="2" t="str">
        <f t="shared" si="1"/>
        <v> </v>
      </c>
      <c r="D758" s="2"/>
    </row>
    <row r="759">
      <c r="C759" s="2" t="str">
        <f t="shared" si="1"/>
        <v> </v>
      </c>
      <c r="D759" s="2"/>
    </row>
    <row r="760">
      <c r="C760" s="2" t="str">
        <f t="shared" si="1"/>
        <v> </v>
      </c>
      <c r="D760" s="2"/>
    </row>
    <row r="761">
      <c r="C761" s="2" t="str">
        <f t="shared" si="1"/>
        <v> </v>
      </c>
      <c r="D761" s="2"/>
    </row>
    <row r="762">
      <c r="C762" s="2" t="str">
        <f t="shared" si="1"/>
        <v> </v>
      </c>
      <c r="D762" s="2"/>
    </row>
    <row r="763">
      <c r="C763" s="2" t="str">
        <f t="shared" si="1"/>
        <v> </v>
      </c>
      <c r="D763" s="2"/>
    </row>
    <row r="764">
      <c r="C764" s="2" t="str">
        <f t="shared" si="1"/>
        <v> </v>
      </c>
      <c r="D764" s="2"/>
    </row>
    <row r="765">
      <c r="C765" s="2" t="str">
        <f t="shared" si="1"/>
        <v> </v>
      </c>
      <c r="D765" s="2"/>
    </row>
    <row r="766">
      <c r="C766" s="2" t="str">
        <f t="shared" si="1"/>
        <v> </v>
      </c>
      <c r="D766" s="2"/>
    </row>
    <row r="767">
      <c r="C767" s="2" t="str">
        <f t="shared" si="1"/>
        <v> </v>
      </c>
      <c r="D767" s="2"/>
    </row>
    <row r="768">
      <c r="C768" s="2" t="str">
        <f t="shared" si="1"/>
        <v> </v>
      </c>
      <c r="D768" s="2"/>
    </row>
    <row r="769">
      <c r="C769" s="2" t="str">
        <f t="shared" si="1"/>
        <v> </v>
      </c>
      <c r="D769" s="2"/>
    </row>
    <row r="770">
      <c r="C770" s="2" t="str">
        <f t="shared" si="1"/>
        <v> </v>
      </c>
      <c r="D770" s="2"/>
    </row>
    <row r="771">
      <c r="C771" s="2" t="str">
        <f t="shared" si="1"/>
        <v> </v>
      </c>
      <c r="D771" s="2"/>
    </row>
    <row r="772">
      <c r="C772" s="2" t="str">
        <f t="shared" si="1"/>
        <v> </v>
      </c>
      <c r="D772" s="2"/>
    </row>
    <row r="773">
      <c r="C773" s="2" t="str">
        <f t="shared" si="1"/>
        <v> </v>
      </c>
      <c r="D773" s="2"/>
    </row>
    <row r="774">
      <c r="C774" s="2" t="str">
        <f t="shared" si="1"/>
        <v> </v>
      </c>
      <c r="D774" s="2"/>
    </row>
    <row r="775">
      <c r="C775" s="2" t="str">
        <f t="shared" si="1"/>
        <v> </v>
      </c>
      <c r="D775" s="2"/>
    </row>
    <row r="776">
      <c r="C776" s="2" t="str">
        <f t="shared" si="1"/>
        <v> </v>
      </c>
      <c r="D776" s="2"/>
    </row>
    <row r="777">
      <c r="C777" s="2" t="str">
        <f t="shared" si="1"/>
        <v> </v>
      </c>
      <c r="D777" s="2"/>
    </row>
    <row r="778">
      <c r="C778" s="2" t="str">
        <f t="shared" si="1"/>
        <v> </v>
      </c>
      <c r="D778" s="2"/>
    </row>
    <row r="779">
      <c r="C779" s="2" t="str">
        <f t="shared" si="1"/>
        <v> </v>
      </c>
      <c r="D779" s="2"/>
    </row>
    <row r="780">
      <c r="C780" s="2" t="str">
        <f t="shared" si="1"/>
        <v> </v>
      </c>
      <c r="D780" s="2"/>
    </row>
    <row r="781">
      <c r="C781" s="2" t="str">
        <f t="shared" si="1"/>
        <v> </v>
      </c>
      <c r="D781" s="2"/>
    </row>
    <row r="782">
      <c r="C782" s="2" t="str">
        <f t="shared" si="1"/>
        <v> </v>
      </c>
      <c r="D782" s="2"/>
    </row>
    <row r="783">
      <c r="C783" s="2" t="str">
        <f t="shared" si="1"/>
        <v> </v>
      </c>
      <c r="D783" s="2"/>
    </row>
    <row r="784">
      <c r="C784" s="2" t="str">
        <f t="shared" si="1"/>
        <v> </v>
      </c>
      <c r="D784" s="2"/>
    </row>
    <row r="785">
      <c r="C785" s="2" t="str">
        <f t="shared" si="1"/>
        <v> </v>
      </c>
      <c r="D785" s="2"/>
    </row>
    <row r="786">
      <c r="C786" s="2" t="str">
        <f t="shared" si="1"/>
        <v> </v>
      </c>
      <c r="D786" s="2"/>
    </row>
    <row r="787">
      <c r="C787" s="2" t="str">
        <f t="shared" si="1"/>
        <v> </v>
      </c>
      <c r="D787" s="2"/>
    </row>
    <row r="788">
      <c r="C788" s="2" t="str">
        <f t="shared" si="1"/>
        <v> </v>
      </c>
      <c r="D788" s="2"/>
    </row>
    <row r="789">
      <c r="C789" s="2" t="str">
        <f t="shared" si="1"/>
        <v> </v>
      </c>
      <c r="D789" s="2"/>
    </row>
    <row r="790">
      <c r="C790" s="2" t="str">
        <f t="shared" si="1"/>
        <v> </v>
      </c>
      <c r="D790" s="2"/>
    </row>
    <row r="791">
      <c r="C791" s="2" t="str">
        <f t="shared" si="1"/>
        <v> </v>
      </c>
      <c r="D791" s="2"/>
    </row>
    <row r="792">
      <c r="C792" s="2" t="str">
        <f t="shared" si="1"/>
        <v> </v>
      </c>
      <c r="D792" s="2"/>
    </row>
    <row r="793">
      <c r="C793" s="2" t="str">
        <f t="shared" si="1"/>
        <v> </v>
      </c>
      <c r="D793" s="2"/>
    </row>
    <row r="794">
      <c r="C794" s="2" t="str">
        <f t="shared" si="1"/>
        <v> </v>
      </c>
      <c r="D794" s="2"/>
    </row>
    <row r="795">
      <c r="C795" s="2" t="str">
        <f t="shared" si="1"/>
        <v> </v>
      </c>
      <c r="D795" s="2"/>
    </row>
    <row r="796">
      <c r="C796" s="2" t="str">
        <f t="shared" si="1"/>
        <v> </v>
      </c>
      <c r="D796" s="2"/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5" t="s">
        <v>0</v>
      </c>
      <c r="B1" s="6"/>
      <c r="C1" s="6"/>
      <c r="D1" s="6"/>
      <c r="E1" s="6"/>
      <c r="F1" s="6"/>
      <c r="G1" s="6"/>
      <c r="H1" s="7"/>
    </row>
    <row r="2">
      <c r="A2" s="8" t="s">
        <v>1</v>
      </c>
      <c r="B2" s="9"/>
      <c r="C2" s="10"/>
      <c r="D2" s="11"/>
      <c r="E2" s="12" t="s">
        <v>2</v>
      </c>
      <c r="F2" s="13"/>
      <c r="G2" s="12" t="s">
        <v>3</v>
      </c>
      <c r="H2" s="14"/>
    </row>
    <row r="3">
      <c r="A3" s="15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19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19"/>
      <c r="B5" s="10"/>
      <c r="C5" s="10"/>
      <c r="D5" s="11"/>
      <c r="E5" s="12" t="s">
        <v>9</v>
      </c>
      <c r="F5" s="20"/>
      <c r="G5" s="21" t="s">
        <v>10</v>
      </c>
      <c r="H5" s="14"/>
    </row>
    <row r="6">
      <c r="A6" s="22" t="s">
        <v>11</v>
      </c>
      <c r="B6" s="22"/>
      <c r="C6" s="22" t="s">
        <v>12</v>
      </c>
      <c r="D6" s="23"/>
      <c r="E6" s="24" t="s">
        <v>13</v>
      </c>
      <c r="F6" s="6"/>
      <c r="G6" s="7"/>
      <c r="H6" s="25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1"/>
      <c r="B8" s="32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32"/>
      <c r="C9" s="27"/>
      <c r="D9" s="28" t="s">
        <v>15</v>
      </c>
      <c r="E9" s="34"/>
      <c r="F9" s="10"/>
      <c r="G9" s="11"/>
      <c r="H9" s="30" t="str">
        <f t="shared" si="1"/>
        <v/>
      </c>
    </row>
    <row r="10">
      <c r="A10" s="33"/>
      <c r="B10" s="32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32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32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32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16</v>
      </c>
      <c r="C14" s="36"/>
      <c r="D14" s="37" t="s">
        <v>15</v>
      </c>
      <c r="E14" s="29"/>
      <c r="F14" s="10"/>
      <c r="G14" s="11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17</v>
      </c>
      <c r="C15" s="41"/>
      <c r="D15" s="37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</v>
      </c>
      <c r="C16" s="11"/>
      <c r="D16" s="37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47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47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47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47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47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20</v>
      </c>
      <c r="C24" s="49"/>
      <c r="D24" s="50" t="s">
        <v>15</v>
      </c>
      <c r="E24" s="19"/>
      <c r="F24" s="10"/>
      <c r="G24" s="11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21</v>
      </c>
      <c r="C25" s="41"/>
      <c r="D25" s="50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</v>
      </c>
      <c r="C26" s="11"/>
      <c r="D26" s="50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19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1"/>
      <c r="B28" s="32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32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32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32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32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32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23</v>
      </c>
      <c r="C34" s="36"/>
      <c r="D34" s="37" t="s">
        <v>15</v>
      </c>
      <c r="E34" s="29"/>
      <c r="F34" s="10"/>
      <c r="G34" s="11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3"/>
      <c r="B35" s="40" t="s">
        <v>24</v>
      </c>
      <c r="C35" s="41"/>
      <c r="D35" s="37" t="s">
        <v>15</v>
      </c>
      <c r="E35" s="29"/>
      <c r="F35" s="10"/>
      <c r="G35" s="11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25</v>
      </c>
      <c r="C36" s="11"/>
      <c r="D36" s="37" t="s">
        <v>15</v>
      </c>
      <c r="E36" s="29"/>
      <c r="F36" s="10"/>
      <c r="G36" s="11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/>
      <c r="B37" s="43" t="s">
        <v>19</v>
      </c>
      <c r="C37" s="44"/>
      <c r="D37" s="45" t="s">
        <v>15</v>
      </c>
      <c r="E37" s="19"/>
      <c r="F37" s="10"/>
      <c r="G37" s="11"/>
      <c r="H37" s="3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6"/>
      <c r="B38" s="47"/>
      <c r="C38" s="44"/>
      <c r="D38" s="45" t="s">
        <v>15</v>
      </c>
      <c r="E38" s="19"/>
      <c r="F38" s="10"/>
      <c r="G38" s="11"/>
      <c r="H38" s="30" t="str">
        <f t="shared" si="7"/>
        <v/>
      </c>
    </row>
    <row r="39">
      <c r="A39" s="33"/>
      <c r="B39" s="47"/>
      <c r="C39" s="44"/>
      <c r="D39" s="45" t="s">
        <v>15</v>
      </c>
      <c r="E39" s="19"/>
      <c r="F39" s="10"/>
      <c r="G39" s="11"/>
      <c r="H39" s="30" t="str">
        <f t="shared" si="7"/>
        <v/>
      </c>
    </row>
    <row r="40">
      <c r="A40" s="33"/>
      <c r="B40" s="47"/>
      <c r="C40" s="44"/>
      <c r="D40" s="45" t="s">
        <v>15</v>
      </c>
      <c r="E40" s="19"/>
      <c r="F40" s="10"/>
      <c r="G40" s="11"/>
      <c r="H40" s="30" t="str">
        <f t="shared" si="7"/>
        <v/>
      </c>
    </row>
    <row r="41">
      <c r="A41" s="33"/>
      <c r="B41" s="47"/>
      <c r="C41" s="44"/>
      <c r="D41" s="45" t="s">
        <v>15</v>
      </c>
      <c r="E41" s="19"/>
      <c r="F41" s="10"/>
      <c r="G41" s="11"/>
      <c r="H41" s="30" t="str">
        <f t="shared" si="7"/>
        <v/>
      </c>
    </row>
    <row r="42">
      <c r="A42" s="33"/>
      <c r="B42" s="47"/>
      <c r="C42" s="44"/>
      <c r="D42" s="45" t="s">
        <v>15</v>
      </c>
      <c r="E42" s="19"/>
      <c r="F42" s="10"/>
      <c r="G42" s="11"/>
      <c r="H42" s="30" t="str">
        <f t="shared" si="7"/>
        <v/>
      </c>
    </row>
    <row r="43">
      <c r="A43" s="33"/>
      <c r="B43" s="47"/>
      <c r="C43" s="44"/>
      <c r="D43" s="45" t="s">
        <v>15</v>
      </c>
      <c r="E43" s="19"/>
      <c r="F43" s="10"/>
      <c r="G43" s="11"/>
      <c r="H43" s="30" t="str">
        <f t="shared" si="7"/>
        <v/>
      </c>
    </row>
    <row r="44">
      <c r="A44" s="33"/>
      <c r="B44" s="48" t="s">
        <v>26</v>
      </c>
      <c r="C44" s="49"/>
      <c r="D44" s="50" t="s">
        <v>15</v>
      </c>
      <c r="E44" s="19"/>
      <c r="F44" s="10"/>
      <c r="G44" s="11"/>
      <c r="H44" s="38" t="str">
        <f t="shared" ref="H44:H46" si="8">IF(D44="Pass", "Pass", IF(D44="Fail", "Fail", ""))</f>
        <v/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3"/>
      <c r="B45" s="51" t="s">
        <v>27</v>
      </c>
      <c r="C45" s="41"/>
      <c r="D45" s="50" t="s">
        <v>15</v>
      </c>
      <c r="E45" s="19"/>
      <c r="F45" s="10"/>
      <c r="G45" s="11"/>
      <c r="H45" s="38" t="str">
        <f t="shared" si="8"/>
        <v/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28</v>
      </c>
      <c r="C46" s="11"/>
      <c r="D46" s="50" t="s">
        <v>15</v>
      </c>
      <c r="E46" s="19"/>
      <c r="F46" s="10"/>
      <c r="G46" s="11"/>
      <c r="H46" s="38" t="str">
        <f t="shared" si="8"/>
        <v/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6"/>
      <c r="B47" s="26" t="s">
        <v>19</v>
      </c>
      <c r="C47" s="27"/>
      <c r="D47" s="28" t="s">
        <v>15</v>
      </c>
      <c r="E47" s="29"/>
      <c r="F47" s="10"/>
      <c r="G47" s="11"/>
      <c r="H47" s="3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1"/>
      <c r="B48" s="32"/>
      <c r="C48" s="27"/>
      <c r="D48" s="28" t="s">
        <v>15</v>
      </c>
      <c r="E48" s="29"/>
      <c r="F48" s="10"/>
      <c r="G48" s="11"/>
      <c r="H48" s="30" t="str">
        <f t="shared" si="9"/>
        <v/>
      </c>
    </row>
    <row r="49">
      <c r="A49" s="33"/>
      <c r="B49" s="32"/>
      <c r="C49" s="27"/>
      <c r="D49" s="28" t="s">
        <v>15</v>
      </c>
      <c r="E49" s="29"/>
      <c r="F49" s="10"/>
      <c r="G49" s="11"/>
      <c r="H49" s="30" t="str">
        <f t="shared" si="9"/>
        <v/>
      </c>
    </row>
    <row r="50">
      <c r="A50" s="33"/>
      <c r="B50" s="32"/>
      <c r="C50" s="27"/>
      <c r="D50" s="28" t="s">
        <v>15</v>
      </c>
      <c r="E50" s="29"/>
      <c r="F50" s="10"/>
      <c r="G50" s="11"/>
      <c r="H50" s="30" t="str">
        <f t="shared" si="9"/>
        <v/>
      </c>
    </row>
    <row r="51">
      <c r="A51" s="33"/>
      <c r="B51" s="32"/>
      <c r="C51" s="27"/>
      <c r="D51" s="28" t="s">
        <v>15</v>
      </c>
      <c r="E51" s="29"/>
      <c r="F51" s="10"/>
      <c r="G51" s="11"/>
      <c r="H51" s="30" t="str">
        <f t="shared" si="9"/>
        <v/>
      </c>
    </row>
    <row r="52">
      <c r="A52" s="33"/>
      <c r="B52" s="32"/>
      <c r="C52" s="27"/>
      <c r="D52" s="28" t="s">
        <v>15</v>
      </c>
      <c r="E52" s="29"/>
      <c r="F52" s="10"/>
      <c r="G52" s="11"/>
      <c r="H52" s="30" t="str">
        <f t="shared" si="9"/>
        <v/>
      </c>
    </row>
    <row r="53">
      <c r="A53" s="33"/>
      <c r="B53" s="32"/>
      <c r="C53" s="27"/>
      <c r="D53" s="28" t="s">
        <v>15</v>
      </c>
      <c r="E53" s="29"/>
      <c r="F53" s="10"/>
      <c r="G53" s="11"/>
      <c r="H53" s="30" t="str">
        <f t="shared" si="9"/>
        <v/>
      </c>
    </row>
    <row r="54">
      <c r="A54" s="33"/>
      <c r="B54" s="52" t="s">
        <v>29</v>
      </c>
      <c r="C54" s="53"/>
      <c r="D54" s="28" t="s">
        <v>15</v>
      </c>
      <c r="E54" s="29"/>
      <c r="F54" s="10"/>
      <c r="G54" s="11"/>
      <c r="H54" s="30" t="str">
        <f t="shared" ref="H54:H56" si="10">IF(D54="Pass", "Pass", IF(D54="Fail", "Fail", ""))</f>
        <v/>
      </c>
    </row>
    <row r="55">
      <c r="A55" s="33"/>
      <c r="B55" s="52" t="s">
        <v>30</v>
      </c>
      <c r="C55" s="41"/>
      <c r="D55" s="28" t="s">
        <v>15</v>
      </c>
      <c r="E55" s="29"/>
      <c r="F55" s="10"/>
      <c r="G55" s="11"/>
      <c r="H55" s="30" t="str">
        <f t="shared" si="10"/>
        <v/>
      </c>
    </row>
    <row r="56">
      <c r="A56" s="42"/>
      <c r="B56" s="52" t="s">
        <v>31</v>
      </c>
      <c r="C56" s="11"/>
      <c r="D56" s="28" t="s">
        <v>15</v>
      </c>
      <c r="E56" s="29"/>
      <c r="F56" s="10"/>
      <c r="G56" s="11"/>
      <c r="H56" s="30" t="str">
        <f t="shared" si="10"/>
        <v/>
      </c>
    </row>
    <row r="57">
      <c r="A57" s="54" t="s">
        <v>32</v>
      </c>
      <c r="B57" s="10"/>
      <c r="C57" s="11"/>
      <c r="D57" s="55" t="s">
        <v>33</v>
      </c>
      <c r="E57" s="10"/>
      <c r="F57" s="10"/>
      <c r="G57" s="10"/>
      <c r="H57" s="56"/>
    </row>
    <row r="58">
      <c r="A58" s="57" t="s">
        <v>34</v>
      </c>
      <c r="B58" s="10"/>
      <c r="C58" s="11"/>
      <c r="D58" s="19"/>
      <c r="E58" s="10"/>
      <c r="F58" s="10"/>
      <c r="G58" s="10"/>
      <c r="H58" s="1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35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37</v>
      </c>
      <c r="B6" s="63"/>
      <c r="C6" s="22" t="s">
        <v>38</v>
      </c>
      <c r="D6" s="23"/>
      <c r="E6" s="24" t="s">
        <v>39</v>
      </c>
      <c r="F6" s="6"/>
      <c r="G6" s="7"/>
      <c r="H6" s="25"/>
    </row>
    <row r="7">
      <c r="A7" s="26"/>
      <c r="B7" s="64" t="s">
        <v>40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41</v>
      </c>
      <c r="C14" s="36"/>
      <c r="D14" s="67" t="s">
        <v>15</v>
      </c>
      <c r="E14" s="29"/>
      <c r="F14" s="10"/>
      <c r="G14" s="11"/>
      <c r="H14" s="6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42</v>
      </c>
      <c r="C15" s="41"/>
      <c r="D15" s="37" t="s">
        <v>15</v>
      </c>
      <c r="E15" s="29"/>
      <c r="F15" s="10"/>
      <c r="G15" s="11"/>
      <c r="H15" s="6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43</v>
      </c>
      <c r="C16" s="11"/>
      <c r="D16" s="37" t="s">
        <v>15</v>
      </c>
      <c r="E16" s="29"/>
      <c r="F16" s="10"/>
      <c r="G16" s="11"/>
      <c r="H16" s="6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44</v>
      </c>
      <c r="C24" s="71"/>
      <c r="D24" s="45" t="s">
        <v>15</v>
      </c>
      <c r="E24" s="19"/>
      <c r="F24" s="10"/>
      <c r="G24" s="11"/>
      <c r="H24" s="30" t="str">
        <f t="shared" ref="H24:H26" si="4">IF(D24="Pass", "Pass", IF(D24="Fail", "Fail", ""))</f>
        <v/>
      </c>
    </row>
    <row r="25">
      <c r="A25" s="33"/>
      <c r="B25" s="51" t="s">
        <v>45</v>
      </c>
      <c r="C25" s="41"/>
      <c r="D25" s="45" t="s">
        <v>15</v>
      </c>
      <c r="E25" s="19"/>
      <c r="F25" s="10"/>
      <c r="G25" s="11"/>
      <c r="H25" s="30" t="str">
        <f t="shared" si="4"/>
        <v/>
      </c>
    </row>
    <row r="26">
      <c r="A26" s="42"/>
      <c r="B26" s="51" t="s">
        <v>46</v>
      </c>
      <c r="C26" s="11"/>
      <c r="D26" s="45" t="s">
        <v>15</v>
      </c>
      <c r="E26" s="19"/>
      <c r="F26" s="10"/>
      <c r="G26" s="11"/>
      <c r="H26" s="30" t="str">
        <f t="shared" si="4"/>
        <v/>
      </c>
    </row>
    <row r="27">
      <c r="A27" s="72" t="s">
        <v>32</v>
      </c>
      <c r="B27" s="10"/>
      <c r="C27" s="11"/>
      <c r="D27" s="24" t="s">
        <v>47</v>
      </c>
      <c r="E27" s="6"/>
      <c r="F27" s="6"/>
      <c r="G27" s="7"/>
      <c r="H27" s="25"/>
    </row>
    <row r="28">
      <c r="A28" s="73" t="s">
        <v>34</v>
      </c>
      <c r="B28" s="10"/>
      <c r="C28" s="11"/>
      <c r="D28" s="19"/>
      <c r="E28" s="10"/>
      <c r="F28" s="10"/>
      <c r="G28" s="10"/>
      <c r="H28" s="11"/>
    </row>
    <row r="29">
      <c r="A29" s="74"/>
      <c r="B29" s="74"/>
    </row>
    <row r="30">
      <c r="A30" s="74"/>
      <c r="B30" s="74"/>
    </row>
    <row r="31">
      <c r="A31" s="74"/>
      <c r="B31" s="74"/>
    </row>
    <row r="32">
      <c r="A32" s="74"/>
      <c r="B32" s="74"/>
    </row>
    <row r="33">
      <c r="A33" s="74"/>
      <c r="B33" s="74"/>
    </row>
    <row r="34">
      <c r="A34" s="74"/>
      <c r="B34" s="74"/>
    </row>
    <row r="35">
      <c r="A35" s="74"/>
      <c r="B35" s="74"/>
    </row>
    <row r="36">
      <c r="A36" s="74"/>
      <c r="B36" s="74"/>
    </row>
    <row r="37">
      <c r="A37" s="74"/>
      <c r="B37" s="74"/>
    </row>
    <row r="38">
      <c r="A38" s="74"/>
      <c r="B38" s="74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8" t="s">
        <v>0</v>
      </c>
      <c r="B1" s="6"/>
      <c r="C1" s="6"/>
      <c r="D1" s="6"/>
      <c r="E1" s="6"/>
      <c r="F1" s="6"/>
      <c r="G1" s="6"/>
      <c r="H1" s="7"/>
    </row>
    <row r="2">
      <c r="A2" s="59" t="s">
        <v>48</v>
      </c>
      <c r="B2" s="60"/>
      <c r="C2" s="10"/>
      <c r="D2" s="11"/>
      <c r="E2" s="12" t="s">
        <v>2</v>
      </c>
      <c r="F2" s="13"/>
      <c r="G2" s="12" t="s">
        <v>3</v>
      </c>
      <c r="H2" s="14"/>
    </row>
    <row r="3">
      <c r="A3" s="61" t="s">
        <v>4</v>
      </c>
      <c r="B3" s="16"/>
      <c r="C3" s="10"/>
      <c r="D3" s="11"/>
      <c r="E3" s="17" t="s">
        <v>5</v>
      </c>
      <c r="F3" s="18"/>
      <c r="G3" s="12" t="s">
        <v>6</v>
      </c>
      <c r="H3" s="14"/>
    </row>
    <row r="4">
      <c r="A4" s="62"/>
      <c r="B4" s="10"/>
      <c r="C4" s="10"/>
      <c r="D4" s="11"/>
      <c r="E4" s="12" t="s">
        <v>7</v>
      </c>
      <c r="F4" s="13"/>
      <c r="G4" s="12" t="s">
        <v>8</v>
      </c>
      <c r="H4" s="14"/>
    </row>
    <row r="5">
      <c r="A5" s="62"/>
      <c r="B5" s="10"/>
      <c r="C5" s="10"/>
      <c r="D5" s="11"/>
      <c r="E5" s="12" t="s">
        <v>9</v>
      </c>
      <c r="F5" s="20"/>
      <c r="G5" s="21" t="s">
        <v>36</v>
      </c>
      <c r="H5" s="14"/>
    </row>
    <row r="6">
      <c r="A6" s="63" t="s">
        <v>49</v>
      </c>
      <c r="B6" s="63"/>
      <c r="C6" s="22" t="s">
        <v>50</v>
      </c>
      <c r="D6" s="23"/>
      <c r="E6" s="55" t="s">
        <v>51</v>
      </c>
      <c r="F6" s="10"/>
      <c r="G6" s="10"/>
      <c r="H6" s="56"/>
    </row>
    <row r="7">
      <c r="A7" s="26"/>
      <c r="B7" s="26" t="s">
        <v>14</v>
      </c>
      <c r="C7" s="27"/>
      <c r="D7" s="28" t="s">
        <v>15</v>
      </c>
      <c r="E7" s="29"/>
      <c r="F7" s="10"/>
      <c r="G7" s="11"/>
      <c r="H7" s="3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5"/>
      <c r="B8" s="66"/>
      <c r="C8" s="27"/>
      <c r="D8" s="28" t="s">
        <v>15</v>
      </c>
      <c r="E8" s="29"/>
      <c r="F8" s="10"/>
      <c r="G8" s="11"/>
      <c r="H8" s="30" t="str">
        <f t="shared" si="1"/>
        <v/>
      </c>
    </row>
    <row r="9">
      <c r="A9" s="33"/>
      <c r="B9" s="66"/>
      <c r="C9" s="27"/>
      <c r="D9" s="28" t="s">
        <v>15</v>
      </c>
      <c r="E9" s="29"/>
      <c r="F9" s="10"/>
      <c r="G9" s="11"/>
      <c r="H9" s="30" t="str">
        <f t="shared" si="1"/>
        <v/>
      </c>
    </row>
    <row r="10">
      <c r="A10" s="33"/>
      <c r="B10" s="66"/>
      <c r="C10" s="27"/>
      <c r="D10" s="28" t="s">
        <v>15</v>
      </c>
      <c r="E10" s="29"/>
      <c r="F10" s="10"/>
      <c r="G10" s="11"/>
      <c r="H10" s="30" t="str">
        <f t="shared" si="1"/>
        <v/>
      </c>
    </row>
    <row r="11">
      <c r="A11" s="33"/>
      <c r="B11" s="66"/>
      <c r="C11" s="27"/>
      <c r="D11" s="28" t="s">
        <v>15</v>
      </c>
      <c r="E11" s="29"/>
      <c r="F11" s="10"/>
      <c r="G11" s="11"/>
      <c r="H11" s="30" t="str">
        <f t="shared" si="1"/>
        <v/>
      </c>
    </row>
    <row r="12">
      <c r="A12" s="33"/>
      <c r="B12" s="66"/>
      <c r="C12" s="27"/>
      <c r="D12" s="28" t="s">
        <v>15</v>
      </c>
      <c r="E12" s="29"/>
      <c r="F12" s="10"/>
      <c r="G12" s="11"/>
      <c r="H12" s="30" t="str">
        <f t="shared" si="1"/>
        <v/>
      </c>
    </row>
    <row r="13">
      <c r="A13" s="33"/>
      <c r="B13" s="66"/>
      <c r="C13" s="27"/>
      <c r="D13" s="28" t="s">
        <v>15</v>
      </c>
      <c r="E13" s="29"/>
      <c r="F13" s="10"/>
      <c r="G13" s="11"/>
      <c r="H13" s="30" t="str">
        <f t="shared" si="1"/>
        <v/>
      </c>
    </row>
    <row r="14">
      <c r="A14" s="33"/>
      <c r="B14" s="35" t="s">
        <v>52</v>
      </c>
      <c r="C14" s="36"/>
      <c r="D14" s="28" t="s">
        <v>15</v>
      </c>
      <c r="E14" s="29"/>
      <c r="F14" s="10"/>
      <c r="G14" s="11"/>
      <c r="H14" s="38" t="str">
        <f t="shared" ref="H14:H16" si="2">IF(D14="Pass", "Pass", IF(D14="Fail", "Fail", ""))
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3"/>
      <c r="B15" s="40" t="s">
        <v>53</v>
      </c>
      <c r="C15" s="41"/>
      <c r="D15" s="28" t="s">
        <v>15</v>
      </c>
      <c r="E15" s="29"/>
      <c r="F15" s="10"/>
      <c r="G15" s="11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54</v>
      </c>
      <c r="C16" s="11"/>
      <c r="D16" s="28" t="s">
        <v>15</v>
      </c>
      <c r="E16" s="29"/>
      <c r="F16" s="10"/>
      <c r="G16" s="11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19"/>
      <c r="F17" s="10"/>
      <c r="G17" s="11"/>
      <c r="H17" s="3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44"/>
      <c r="D18" s="45" t="s">
        <v>15</v>
      </c>
      <c r="E18" s="19"/>
      <c r="F18" s="10"/>
      <c r="G18" s="11"/>
      <c r="H18" s="30" t="str">
        <f t="shared" si="3"/>
        <v/>
      </c>
    </row>
    <row r="19">
      <c r="A19" s="33"/>
      <c r="B19" s="70"/>
      <c r="C19" s="44"/>
      <c r="D19" s="45" t="s">
        <v>15</v>
      </c>
      <c r="E19" s="19"/>
      <c r="F19" s="10"/>
      <c r="G19" s="11"/>
      <c r="H19" s="30" t="str">
        <f t="shared" si="3"/>
        <v/>
      </c>
    </row>
    <row r="20">
      <c r="A20" s="33"/>
      <c r="B20" s="70"/>
      <c r="C20" s="44"/>
      <c r="D20" s="45" t="s">
        <v>15</v>
      </c>
      <c r="E20" s="19"/>
      <c r="F20" s="10"/>
      <c r="G20" s="11"/>
      <c r="H20" s="30" t="str">
        <f t="shared" si="3"/>
        <v/>
      </c>
    </row>
    <row r="21">
      <c r="A21" s="33"/>
      <c r="B21" s="70"/>
      <c r="C21" s="44"/>
      <c r="D21" s="45" t="s">
        <v>15</v>
      </c>
      <c r="E21" s="19"/>
      <c r="F21" s="10"/>
      <c r="G21" s="11"/>
      <c r="H21" s="30" t="str">
        <f t="shared" si="3"/>
        <v/>
      </c>
    </row>
    <row r="22">
      <c r="A22" s="33"/>
      <c r="B22" s="70"/>
      <c r="C22" s="44"/>
      <c r="D22" s="45" t="s">
        <v>15</v>
      </c>
      <c r="E22" s="19"/>
      <c r="F22" s="10"/>
      <c r="G22" s="11"/>
      <c r="H22" s="30" t="str">
        <f t="shared" si="3"/>
        <v/>
      </c>
    </row>
    <row r="23">
      <c r="A23" s="33"/>
      <c r="B23" s="70"/>
      <c r="C23" s="44"/>
      <c r="D23" s="45" t="s">
        <v>15</v>
      </c>
      <c r="E23" s="19"/>
      <c r="F23" s="10"/>
      <c r="G23" s="11"/>
      <c r="H23" s="30" t="str">
        <f t="shared" si="3"/>
        <v/>
      </c>
    </row>
    <row r="24">
      <c r="A24" s="33"/>
      <c r="B24" s="48" t="s">
        <v>55</v>
      </c>
      <c r="C24" s="49"/>
      <c r="D24" s="45" t="s">
        <v>15</v>
      </c>
      <c r="E24" s="19"/>
      <c r="F24" s="10"/>
      <c r="G24" s="11"/>
      <c r="H24" s="38" t="str">
        <f t="shared" ref="H24:H26" si="4">IF(D24="Pass", "Pass", IF(D24="Fail", "Fail", ""))
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3"/>
      <c r="B25" s="51" t="s">
        <v>56</v>
      </c>
      <c r="C25" s="41"/>
      <c r="D25" s="45" t="s">
        <v>15</v>
      </c>
      <c r="E25" s="19"/>
      <c r="F25" s="10"/>
      <c r="G25" s="11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57</v>
      </c>
      <c r="C26" s="11"/>
      <c r="D26" s="45" t="s">
        <v>15</v>
      </c>
      <c r="E26" s="19"/>
      <c r="F26" s="10"/>
      <c r="G26" s="11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6"/>
      <c r="B27" s="26" t="s">
        <v>14</v>
      </c>
      <c r="C27" s="27"/>
      <c r="D27" s="28" t="s">
        <v>15</v>
      </c>
      <c r="E27" s="29"/>
      <c r="F27" s="10"/>
      <c r="G27" s="11"/>
      <c r="H27" s="3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5"/>
      <c r="B28" s="66"/>
      <c r="C28" s="27"/>
      <c r="D28" s="28" t="s">
        <v>15</v>
      </c>
      <c r="E28" s="29"/>
      <c r="F28" s="10"/>
      <c r="G28" s="11"/>
      <c r="H28" s="30" t="str">
        <f t="shared" si="5"/>
        <v/>
      </c>
    </row>
    <row r="29">
      <c r="A29" s="33"/>
      <c r="B29" s="66"/>
      <c r="C29" s="27"/>
      <c r="D29" s="28" t="s">
        <v>15</v>
      </c>
      <c r="E29" s="29"/>
      <c r="F29" s="10"/>
      <c r="G29" s="11"/>
      <c r="H29" s="30" t="str">
        <f t="shared" si="5"/>
        <v/>
      </c>
    </row>
    <row r="30">
      <c r="A30" s="33"/>
      <c r="B30" s="66"/>
      <c r="C30" s="27"/>
      <c r="D30" s="28" t="s">
        <v>15</v>
      </c>
      <c r="E30" s="29"/>
      <c r="F30" s="10"/>
      <c r="G30" s="11"/>
      <c r="H30" s="30" t="str">
        <f t="shared" si="5"/>
        <v/>
      </c>
    </row>
    <row r="31">
      <c r="A31" s="33"/>
      <c r="B31" s="66"/>
      <c r="C31" s="27"/>
      <c r="D31" s="28" t="s">
        <v>15</v>
      </c>
      <c r="E31" s="29"/>
      <c r="F31" s="10"/>
      <c r="G31" s="11"/>
      <c r="H31" s="30" t="str">
        <f t="shared" si="5"/>
        <v/>
      </c>
    </row>
    <row r="32">
      <c r="A32" s="33"/>
      <c r="B32" s="66"/>
      <c r="C32" s="27"/>
      <c r="D32" s="28" t="s">
        <v>15</v>
      </c>
      <c r="E32" s="29"/>
      <c r="F32" s="10"/>
      <c r="G32" s="11"/>
      <c r="H32" s="30" t="str">
        <f t="shared" si="5"/>
        <v/>
      </c>
    </row>
    <row r="33">
      <c r="A33" s="33"/>
      <c r="B33" s="66"/>
      <c r="C33" s="27"/>
      <c r="D33" s="28" t="s">
        <v>15</v>
      </c>
      <c r="E33" s="29"/>
      <c r="F33" s="10"/>
      <c r="G33" s="11"/>
      <c r="H33" s="30" t="str">
        <f t="shared" si="5"/>
        <v/>
      </c>
    </row>
    <row r="34">
      <c r="A34" s="33"/>
      <c r="B34" s="35" t="s">
        <v>58</v>
      </c>
      <c r="C34" s="53"/>
      <c r="D34" s="28" t="s">
        <v>15</v>
      </c>
      <c r="E34" s="29"/>
      <c r="F34" s="10"/>
      <c r="G34" s="11"/>
      <c r="H34" s="30" t="str">
        <f t="shared" ref="H34:H36" si="6">IF(D34="Pass", "Pass", IF(34="Fail", "Fail", ""))
</f>
        <v/>
      </c>
    </row>
    <row r="35">
      <c r="A35" s="33"/>
      <c r="B35" s="40" t="s">
        <v>59</v>
      </c>
      <c r="C35" s="41"/>
      <c r="D35" s="28" t="s">
        <v>15</v>
      </c>
      <c r="E35" s="29"/>
      <c r="F35" s="10"/>
      <c r="G35" s="11"/>
      <c r="H35" s="30" t="str">
        <f t="shared" si="6"/>
        <v/>
      </c>
    </row>
    <row r="36">
      <c r="A36" s="42"/>
      <c r="B36" s="40" t="s">
        <v>60</v>
      </c>
      <c r="C36" s="11"/>
      <c r="D36" s="28" t="s">
        <v>15</v>
      </c>
      <c r="E36" s="29"/>
      <c r="F36" s="10"/>
      <c r="G36" s="11"/>
      <c r="H36" s="30" t="str">
        <f t="shared" si="6"/>
        <v/>
      </c>
    </row>
    <row r="37">
      <c r="A37" s="72" t="s">
        <v>32</v>
      </c>
      <c r="B37" s="10"/>
      <c r="C37" s="11"/>
      <c r="D37" s="24" t="s">
        <v>61</v>
      </c>
      <c r="E37" s="6"/>
      <c r="F37" s="6"/>
      <c r="G37" s="7"/>
      <c r="H37" s="25"/>
    </row>
    <row r="38">
      <c r="A38" s="73" t="s">
        <v>34</v>
      </c>
      <c r="B38" s="10"/>
      <c r="C38" s="11"/>
      <c r="D38" s="19"/>
      <c r="E38" s="10"/>
      <c r="F38" s="10"/>
      <c r="G38" s="10"/>
      <c r="H38" s="11"/>
    </row>
    <row r="39">
      <c r="A39" s="74"/>
      <c r="B39" s="74"/>
    </row>
    <row r="40">
      <c r="A40" s="74"/>
      <c r="B40" s="74"/>
    </row>
    <row r="41">
      <c r="A41" s="74"/>
      <c r="B41" s="74"/>
    </row>
    <row r="42">
      <c r="A42" s="74"/>
      <c r="B42" s="74"/>
    </row>
    <row r="43">
      <c r="A43" s="74"/>
      <c r="B43" s="74"/>
    </row>
    <row r="44">
      <c r="A44" s="74"/>
      <c r="B44" s="74"/>
    </row>
    <row r="45">
      <c r="A45" s="74"/>
      <c r="B45" s="74"/>
    </row>
    <row r="46">
      <c r="A46" s="74"/>
      <c r="B46" s="74"/>
    </row>
    <row r="47">
      <c r="A47" s="74"/>
      <c r="B47" s="74"/>
    </row>
    <row r="48">
      <c r="A48" s="74"/>
      <c r="B48" s="74"/>
    </row>
    <row r="49">
      <c r="A49" s="74"/>
      <c r="B49" s="74"/>
    </row>
    <row r="50">
      <c r="A50" s="74"/>
      <c r="B50" s="74"/>
    </row>
    <row r="51">
      <c r="A51" s="74"/>
      <c r="B51" s="74"/>
    </row>
    <row r="52">
      <c r="A52" s="74"/>
      <c r="B52" s="74"/>
    </row>
    <row r="53">
      <c r="A53" s="74"/>
      <c r="B53" s="74"/>
    </row>
    <row r="54">
      <c r="A54" s="74"/>
      <c r="B54" s="74"/>
    </row>
    <row r="55">
      <c r="A55" s="74"/>
      <c r="B55" s="74"/>
    </row>
    <row r="56">
      <c r="A56" s="74"/>
      <c r="B56" s="74"/>
    </row>
    <row r="57">
      <c r="A57" s="74"/>
      <c r="B57" s="74"/>
    </row>
    <row r="58">
      <c r="A58" s="74"/>
      <c r="B58" s="74"/>
    </row>
    <row r="59">
      <c r="A59" s="74"/>
      <c r="B59" s="74"/>
    </row>
    <row r="60">
      <c r="A60" s="74"/>
      <c r="B60" s="74"/>
    </row>
    <row r="61">
      <c r="A61" s="74"/>
      <c r="B61" s="74"/>
    </row>
    <row r="62">
      <c r="A62" s="74"/>
      <c r="B62" s="74"/>
    </row>
    <row r="63">
      <c r="A63" s="74"/>
      <c r="B63" s="74"/>
    </row>
    <row r="64">
      <c r="A64" s="74"/>
      <c r="B64" s="74"/>
    </row>
    <row r="65">
      <c r="A65" s="74"/>
      <c r="B65" s="74"/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  <row r="1001">
      <c r="A1001" s="74"/>
      <c r="B1001" s="74"/>
    </row>
    <row r="1002">
      <c r="A1002" s="74"/>
      <c r="B1002" s="74"/>
    </row>
    <row r="1003">
      <c r="A1003" s="74"/>
      <c r="B1003" s="74"/>
    </row>
    <row r="1004">
      <c r="A1004" s="74"/>
      <c r="B1004" s="74"/>
    </row>
    <row r="1005">
      <c r="A1005" s="74"/>
      <c r="B1005" s="74"/>
    </row>
    <row r="1006">
      <c r="A1006" s="74"/>
      <c r="B1006" s="74"/>
    </row>
    <row r="1007">
      <c r="A1007" s="74"/>
      <c r="B1007" s="74"/>
    </row>
    <row r="1008">
      <c r="A1008" s="74"/>
      <c r="B1008" s="74"/>
    </row>
    <row r="1009">
      <c r="A1009" s="74"/>
      <c r="B1009" s="74"/>
    </row>
    <row r="1010">
      <c r="A1010" s="74"/>
      <c r="B1010" s="74"/>
    </row>
    <row r="1011">
      <c r="A1011" s="74"/>
      <c r="B1011" s="74"/>
    </row>
    <row r="1012">
      <c r="A1012" s="74"/>
      <c r="B1012" s="74"/>
    </row>
    <row r="1013">
      <c r="A1013" s="74"/>
      <c r="B1013" s="74"/>
    </row>
    <row r="1014">
      <c r="A1014" s="74"/>
      <c r="B1014" s="74"/>
    </row>
    <row r="1015">
      <c r="A1015" s="74"/>
      <c r="B1015" s="74"/>
    </row>
    <row r="1016">
      <c r="A1016" s="74"/>
      <c r="B1016" s="74"/>
    </row>
    <row r="1017">
      <c r="A1017" s="74"/>
      <c r="B1017" s="74"/>
    </row>
    <row r="1018">
      <c r="A1018" s="74"/>
      <c r="B1018" s="7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25"/>
    <col customWidth="1" min="3" max="3" width="28.25"/>
    <col customWidth="1" min="7" max="7" width="15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0.13"/>
    <col hidden="1" min="18" max="34" width="12.63"/>
  </cols>
  <sheetData>
    <row r="1" ht="40.5" customHeight="1">
      <c r="A1" s="75" t="s">
        <v>62</v>
      </c>
      <c r="F1" s="76"/>
      <c r="G1" s="77"/>
      <c r="H1" s="78"/>
      <c r="I1" s="78"/>
      <c r="J1" s="78"/>
      <c r="K1" s="78"/>
      <c r="L1" s="78"/>
      <c r="M1" s="78"/>
      <c r="N1" s="79"/>
      <c r="O1" s="79"/>
      <c r="P1" s="79"/>
      <c r="Q1" s="39"/>
      <c r="R1" s="80" t="s">
        <v>34</v>
      </c>
      <c r="S1" s="81"/>
      <c r="T1" s="7"/>
      <c r="U1" s="80" t="s">
        <v>63</v>
      </c>
      <c r="V1" s="80" t="s">
        <v>63</v>
      </c>
      <c r="W1" s="80" t="s">
        <v>63</v>
      </c>
      <c r="X1" s="80" t="s">
        <v>63</v>
      </c>
      <c r="Y1" s="80"/>
      <c r="Z1" s="80"/>
      <c r="AA1" s="80" t="s">
        <v>63</v>
      </c>
      <c r="AB1" s="80"/>
      <c r="AC1" s="80"/>
      <c r="AD1" s="80"/>
      <c r="AE1" s="80" t="s">
        <v>63</v>
      </c>
      <c r="AF1" s="80"/>
      <c r="AG1" s="80" t="b">
        <v>0</v>
      </c>
      <c r="AH1" s="80"/>
    </row>
    <row r="2">
      <c r="A2" s="82" t="s">
        <v>64</v>
      </c>
      <c r="B2" s="10"/>
      <c r="C2" s="10"/>
      <c r="D2" s="83"/>
      <c r="E2" s="84"/>
      <c r="F2" s="83"/>
      <c r="G2" s="83"/>
      <c r="H2" s="85"/>
      <c r="I2" s="85"/>
      <c r="J2" s="85"/>
      <c r="K2" s="85"/>
      <c r="L2" s="85"/>
      <c r="M2" s="85"/>
      <c r="N2" s="85"/>
      <c r="O2" s="85"/>
      <c r="P2" s="85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>
      <c r="A3" s="86" t="s">
        <v>65</v>
      </c>
      <c r="B3" s="87" t="s">
        <v>66</v>
      </c>
      <c r="C3" s="11"/>
      <c r="D3" s="88" t="s">
        <v>67</v>
      </c>
      <c r="E3" s="89" t="s">
        <v>68</v>
      </c>
      <c r="F3" s="88" t="s">
        <v>69</v>
      </c>
      <c r="G3" s="90" t="s">
        <v>70</v>
      </c>
      <c r="H3" s="91" t="s">
        <v>71</v>
      </c>
      <c r="I3" s="91" t="s">
        <v>72</v>
      </c>
      <c r="J3" s="92" t="s">
        <v>73</v>
      </c>
      <c r="K3" s="91" t="s">
        <v>74</v>
      </c>
      <c r="L3" s="90" t="s">
        <v>75</v>
      </c>
      <c r="M3" s="90" t="s">
        <v>76</v>
      </c>
      <c r="N3" s="90" t="s">
        <v>77</v>
      </c>
      <c r="O3" s="90" t="s">
        <v>78</v>
      </c>
      <c r="P3" s="93" t="s">
        <v>79</v>
      </c>
      <c r="Q3" s="94" t="s">
        <v>80</v>
      </c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</row>
    <row r="4">
      <c r="A4" s="80" t="s">
        <v>34</v>
      </c>
      <c r="B4" s="81"/>
      <c r="C4" s="7"/>
      <c r="D4" s="80" t="s">
        <v>63</v>
      </c>
      <c r="E4" s="80" t="s">
        <v>63</v>
      </c>
      <c r="F4" s="80" t="s">
        <v>63</v>
      </c>
      <c r="G4" s="80" t="s">
        <v>63</v>
      </c>
      <c r="H4" s="80"/>
      <c r="I4" s="80"/>
      <c r="J4" s="80" t="str">
        <f>IF(ISBLANK(I4), "[Do Not Edit]", IF(AND(I4&gt;=0, I4&lt;=800), 2, IF(AND(I4&gt;=801, I4&lt;=22000), 3, IF(I4&gt;22001, 5, ""))))</f>
        <v>[Do Not Edit]</v>
      </c>
      <c r="K4" s="80"/>
      <c r="L4" s="80"/>
      <c r="M4" s="80"/>
      <c r="N4" s="80" t="str">
        <f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[Do Not Edit]</v>
      </c>
      <c r="O4" s="80"/>
      <c r="P4" s="80" t="b">
        <v>0</v>
      </c>
      <c r="Q4" s="80"/>
    </row>
    <row r="5">
      <c r="E5" s="96"/>
      <c r="K5" s="2"/>
      <c r="L5" s="97"/>
    </row>
    <row r="6">
      <c r="E6" s="96"/>
      <c r="K6" s="2"/>
      <c r="L6" s="97"/>
    </row>
    <row r="7">
      <c r="E7" s="96"/>
      <c r="K7" s="2"/>
      <c r="L7" s="97"/>
    </row>
    <row r="8">
      <c r="E8" s="96"/>
      <c r="K8" s="2"/>
      <c r="L8" s="97"/>
    </row>
    <row r="9">
      <c r="E9" s="96"/>
      <c r="K9" s="2"/>
      <c r="L9" s="97"/>
    </row>
    <row r="10">
      <c r="E10" s="96"/>
      <c r="K10" s="2"/>
      <c r="L10" s="97"/>
    </row>
    <row r="11">
      <c r="E11" s="96"/>
      <c r="K11" s="2"/>
      <c r="L11" s="97"/>
    </row>
    <row r="12">
      <c r="E12" s="96"/>
      <c r="K12" s="2"/>
      <c r="L12" s="97"/>
    </row>
    <row r="13">
      <c r="E13" s="96"/>
      <c r="K13" s="2"/>
      <c r="L13" s="97"/>
    </row>
    <row r="14">
      <c r="E14" s="96"/>
      <c r="K14" s="2"/>
      <c r="L14" s="97"/>
    </row>
    <row r="15">
      <c r="E15" s="96"/>
      <c r="K15" s="2"/>
      <c r="L15" s="97"/>
    </row>
    <row r="16">
      <c r="E16" s="96"/>
      <c r="K16" s="2"/>
      <c r="L16" s="97"/>
    </row>
    <row r="17">
      <c r="E17" s="96"/>
      <c r="K17" s="2"/>
      <c r="L17" s="97"/>
    </row>
    <row r="18">
      <c r="E18" s="96"/>
      <c r="K18" s="2"/>
      <c r="L18" s="97"/>
    </row>
    <row r="19">
      <c r="E19" s="96"/>
      <c r="K19" s="2"/>
      <c r="L19" s="97"/>
    </row>
    <row r="20">
      <c r="E20" s="96"/>
      <c r="K20" s="2"/>
      <c r="L20" s="97"/>
    </row>
    <row r="21">
      <c r="E21" s="96"/>
      <c r="K21" s="2"/>
      <c r="L21" s="97"/>
    </row>
    <row r="22">
      <c r="E22" s="96"/>
      <c r="K22" s="2"/>
      <c r="L22" s="97"/>
    </row>
    <row r="23">
      <c r="E23" s="96"/>
      <c r="K23" s="2"/>
      <c r="L23" s="97"/>
    </row>
    <row r="24">
      <c r="E24" s="96"/>
      <c r="K24" s="2"/>
      <c r="L24" s="97"/>
    </row>
    <row r="25">
      <c r="E25" s="96"/>
      <c r="K25" s="2"/>
      <c r="L25" s="97"/>
    </row>
    <row r="26">
      <c r="E26" s="96"/>
      <c r="K26" s="2"/>
      <c r="L26" s="97"/>
    </row>
    <row r="27">
      <c r="E27" s="96"/>
      <c r="K27" s="2"/>
      <c r="L27" s="97"/>
    </row>
    <row r="28">
      <c r="E28" s="96"/>
      <c r="K28" s="2"/>
      <c r="L28" s="97"/>
    </row>
    <row r="29">
      <c r="E29" s="96"/>
      <c r="K29" s="2"/>
      <c r="L29" s="97"/>
    </row>
    <row r="30">
      <c r="E30" s="96"/>
      <c r="K30" s="2"/>
      <c r="L30" s="97"/>
    </row>
    <row r="31">
      <c r="E31" s="96"/>
      <c r="K31" s="2"/>
      <c r="L31" s="97"/>
    </row>
    <row r="32">
      <c r="E32" s="96"/>
      <c r="K32" s="2"/>
      <c r="L32" s="97"/>
    </row>
    <row r="33">
      <c r="E33" s="96"/>
      <c r="K33" s="2"/>
      <c r="L33" s="97"/>
    </row>
    <row r="34">
      <c r="E34" s="96"/>
      <c r="K34" s="2"/>
      <c r="L34" s="97"/>
    </row>
    <row r="35">
      <c r="E35" s="96"/>
      <c r="K35" s="2"/>
      <c r="L35" s="97"/>
    </row>
    <row r="36">
      <c r="E36" s="96"/>
      <c r="K36" s="2"/>
      <c r="L36" s="97"/>
    </row>
    <row r="37">
      <c r="E37" s="96"/>
      <c r="K37" s="2"/>
      <c r="L37" s="97"/>
    </row>
    <row r="38">
      <c r="E38" s="96"/>
      <c r="K38" s="2"/>
      <c r="L38" s="97"/>
    </row>
    <row r="39">
      <c r="E39" s="96"/>
      <c r="K39" s="2"/>
      <c r="L39" s="97"/>
    </row>
    <row r="40">
      <c r="E40" s="96"/>
      <c r="K40" s="2"/>
      <c r="L40" s="97"/>
    </row>
    <row r="41">
      <c r="E41" s="96"/>
      <c r="K41" s="2"/>
      <c r="L41" s="97"/>
    </row>
    <row r="42">
      <c r="E42" s="96"/>
      <c r="K42" s="2"/>
      <c r="L42" s="97"/>
    </row>
    <row r="43">
      <c r="E43" s="96"/>
      <c r="K43" s="2"/>
      <c r="L43" s="97"/>
    </row>
    <row r="44">
      <c r="E44" s="96"/>
      <c r="K44" s="2"/>
      <c r="L44" s="97"/>
    </row>
    <row r="45">
      <c r="E45" s="96"/>
      <c r="K45" s="2"/>
      <c r="L45" s="97"/>
    </row>
    <row r="46">
      <c r="E46" s="96"/>
      <c r="K46" s="2"/>
      <c r="L46" s="97"/>
    </row>
    <row r="47">
      <c r="E47" s="96"/>
      <c r="K47" s="2"/>
      <c r="L47" s="97"/>
    </row>
    <row r="48">
      <c r="E48" s="96"/>
      <c r="K48" s="2"/>
      <c r="L48" s="97"/>
    </row>
    <row r="49">
      <c r="E49" s="96"/>
      <c r="K49" s="2"/>
      <c r="L49" s="97"/>
    </row>
    <row r="50">
      <c r="E50" s="96"/>
      <c r="K50" s="2"/>
      <c r="L50" s="97"/>
    </row>
    <row r="51">
      <c r="E51" s="96"/>
      <c r="K51" s="2"/>
      <c r="L51" s="97"/>
    </row>
    <row r="52">
      <c r="E52" s="96"/>
      <c r="K52" s="2"/>
      <c r="L52" s="97"/>
    </row>
    <row r="53">
      <c r="E53" s="96"/>
      <c r="K53" s="2"/>
      <c r="L53" s="97"/>
    </row>
    <row r="54">
      <c r="E54" s="96"/>
      <c r="K54" s="2"/>
      <c r="L54" s="97"/>
    </row>
    <row r="55">
      <c r="E55" s="96"/>
      <c r="K55" s="2"/>
      <c r="L55" s="97"/>
    </row>
    <row r="56">
      <c r="E56" s="96"/>
      <c r="K56" s="2"/>
      <c r="L56" s="97"/>
    </row>
    <row r="57">
      <c r="E57" s="96"/>
      <c r="K57" s="2"/>
      <c r="L57" s="97"/>
    </row>
    <row r="58">
      <c r="E58" s="96"/>
      <c r="K58" s="2"/>
      <c r="L58" s="97"/>
    </row>
    <row r="59">
      <c r="E59" s="96"/>
      <c r="K59" s="2"/>
      <c r="L59" s="97"/>
    </row>
    <row r="60">
      <c r="E60" s="96"/>
      <c r="K60" s="2"/>
      <c r="L60" s="97"/>
    </row>
    <row r="61">
      <c r="E61" s="96"/>
      <c r="K61" s="2"/>
      <c r="L61" s="97"/>
    </row>
    <row r="62">
      <c r="E62" s="96"/>
      <c r="K62" s="2"/>
      <c r="L62" s="97"/>
    </row>
    <row r="63">
      <c r="E63" s="96"/>
      <c r="K63" s="2"/>
      <c r="L63" s="97"/>
    </row>
    <row r="64">
      <c r="E64" s="96"/>
      <c r="K64" s="2"/>
      <c r="L64" s="97"/>
    </row>
    <row r="65">
      <c r="E65" s="96"/>
      <c r="K65" s="2"/>
      <c r="L65" s="97"/>
    </row>
    <row r="66">
      <c r="E66" s="96"/>
      <c r="K66" s="2"/>
      <c r="L66" s="97"/>
    </row>
    <row r="67">
      <c r="E67" s="96"/>
      <c r="K67" s="2"/>
      <c r="L67" s="97"/>
    </row>
    <row r="68">
      <c r="E68" s="96"/>
      <c r="K68" s="2"/>
      <c r="L68" s="97"/>
    </row>
    <row r="69">
      <c r="E69" s="96"/>
      <c r="K69" s="2"/>
      <c r="L69" s="97"/>
    </row>
    <row r="70">
      <c r="E70" s="96"/>
      <c r="K70" s="2"/>
      <c r="L70" s="97"/>
    </row>
    <row r="71">
      <c r="E71" s="96"/>
      <c r="K71" s="2"/>
      <c r="L71" s="97"/>
    </row>
    <row r="72">
      <c r="E72" s="96"/>
      <c r="K72" s="2"/>
      <c r="L72" s="97"/>
    </row>
    <row r="73">
      <c r="E73" s="96"/>
      <c r="K73" s="2"/>
      <c r="L73" s="97"/>
    </row>
    <row r="74">
      <c r="E74" s="96"/>
      <c r="K74" s="2"/>
      <c r="L74" s="97"/>
    </row>
    <row r="75">
      <c r="E75" s="96"/>
      <c r="K75" s="2"/>
      <c r="L75" s="97"/>
    </row>
    <row r="76">
      <c r="E76" s="96"/>
      <c r="K76" s="2"/>
      <c r="L76" s="97"/>
    </row>
    <row r="77">
      <c r="E77" s="96"/>
      <c r="K77" s="2"/>
      <c r="L77" s="97"/>
    </row>
    <row r="78">
      <c r="E78" s="96"/>
      <c r="K78" s="2"/>
      <c r="L78" s="97"/>
    </row>
    <row r="79">
      <c r="E79" s="96"/>
      <c r="K79" s="2"/>
      <c r="L79" s="97"/>
    </row>
    <row r="80">
      <c r="E80" s="96"/>
      <c r="K80" s="2"/>
      <c r="L80" s="97"/>
    </row>
    <row r="81">
      <c r="E81" s="96"/>
      <c r="K81" s="2"/>
      <c r="L81" s="97"/>
    </row>
    <row r="82">
      <c r="E82" s="96"/>
      <c r="K82" s="2"/>
      <c r="L82" s="97"/>
    </row>
    <row r="83">
      <c r="E83" s="96"/>
      <c r="K83" s="2"/>
      <c r="L83" s="97"/>
    </row>
    <row r="84">
      <c r="E84" s="96"/>
      <c r="K84" s="2"/>
      <c r="L84" s="97"/>
    </row>
    <row r="85">
      <c r="E85" s="96"/>
      <c r="K85" s="2"/>
      <c r="L85" s="97"/>
    </row>
    <row r="86">
      <c r="E86" s="96"/>
      <c r="K86" s="2"/>
      <c r="L86" s="97"/>
    </row>
    <row r="87">
      <c r="E87" s="96"/>
      <c r="K87" s="2"/>
      <c r="L87" s="97"/>
    </row>
    <row r="88">
      <c r="E88" s="96"/>
      <c r="K88" s="2"/>
      <c r="L88" s="97"/>
    </row>
    <row r="89">
      <c r="E89" s="96"/>
      <c r="K89" s="2"/>
      <c r="L89" s="97"/>
    </row>
    <row r="90">
      <c r="E90" s="96"/>
      <c r="K90" s="2"/>
      <c r="L90" s="97"/>
    </row>
    <row r="91">
      <c r="E91" s="96"/>
      <c r="K91" s="2"/>
      <c r="L91" s="97"/>
    </row>
    <row r="92">
      <c r="E92" s="96"/>
      <c r="K92" s="2"/>
      <c r="L92" s="97"/>
    </row>
    <row r="93">
      <c r="E93" s="96"/>
      <c r="K93" s="2"/>
      <c r="L93" s="97"/>
    </row>
    <row r="94">
      <c r="E94" s="96"/>
      <c r="K94" s="2"/>
      <c r="L94" s="97"/>
    </row>
    <row r="95">
      <c r="E95" s="96"/>
      <c r="K95" s="2"/>
      <c r="L95" s="97"/>
    </row>
    <row r="96">
      <c r="E96" s="96"/>
      <c r="K96" s="2"/>
      <c r="L96" s="97"/>
    </row>
    <row r="97">
      <c r="E97" s="96"/>
      <c r="K97" s="2"/>
      <c r="L97" s="97"/>
    </row>
    <row r="98">
      <c r="E98" s="96"/>
      <c r="K98" s="2"/>
      <c r="L98" s="97"/>
    </row>
    <row r="99">
      <c r="E99" s="96"/>
      <c r="K99" s="2"/>
      <c r="L99" s="97"/>
    </row>
    <row r="100">
      <c r="E100" s="96"/>
      <c r="K100" s="2"/>
      <c r="L100" s="97"/>
    </row>
    <row r="101">
      <c r="E101" s="96"/>
      <c r="K101" s="2"/>
      <c r="L101" s="97"/>
    </row>
    <row r="102">
      <c r="E102" s="96"/>
      <c r="K102" s="2"/>
      <c r="L102" s="97"/>
    </row>
    <row r="103">
      <c r="E103" s="96"/>
      <c r="K103" s="2"/>
      <c r="L103" s="97"/>
    </row>
    <row r="104">
      <c r="E104" s="96"/>
      <c r="K104" s="2"/>
      <c r="L104" s="97"/>
    </row>
    <row r="105">
      <c r="E105" s="96"/>
      <c r="K105" s="2"/>
      <c r="L105" s="97"/>
    </row>
    <row r="106">
      <c r="E106" s="96"/>
      <c r="K106" s="2"/>
      <c r="L106" s="97"/>
    </row>
    <row r="107">
      <c r="E107" s="96"/>
      <c r="K107" s="2"/>
      <c r="L107" s="97"/>
    </row>
    <row r="108">
      <c r="E108" s="96"/>
      <c r="K108" s="2"/>
      <c r="L108" s="97"/>
    </row>
    <row r="109">
      <c r="E109" s="96"/>
      <c r="K109" s="2"/>
      <c r="L109" s="97"/>
    </row>
    <row r="110">
      <c r="E110" s="96"/>
      <c r="K110" s="2"/>
      <c r="L110" s="97"/>
    </row>
    <row r="111">
      <c r="E111" s="96"/>
      <c r="K111" s="2"/>
      <c r="L111" s="97"/>
    </row>
    <row r="112">
      <c r="E112" s="96"/>
      <c r="K112" s="2"/>
      <c r="L112" s="97"/>
    </row>
    <row r="113">
      <c r="E113" s="96"/>
      <c r="K113" s="2"/>
      <c r="L113" s="97"/>
    </row>
    <row r="114">
      <c r="E114" s="96"/>
      <c r="K114" s="2"/>
      <c r="L114" s="97"/>
    </row>
    <row r="115">
      <c r="E115" s="96"/>
      <c r="K115" s="2"/>
      <c r="L115" s="97"/>
    </row>
    <row r="116">
      <c r="E116" s="96"/>
      <c r="K116" s="2"/>
      <c r="L116" s="97"/>
    </row>
    <row r="117">
      <c r="E117" s="96"/>
      <c r="K117" s="2"/>
      <c r="L117" s="97"/>
    </row>
    <row r="118">
      <c r="E118" s="96"/>
      <c r="K118" s="2"/>
      <c r="L118" s="97"/>
    </row>
    <row r="119">
      <c r="E119" s="96"/>
      <c r="K119" s="2"/>
      <c r="L119" s="97"/>
    </row>
    <row r="120">
      <c r="E120" s="96"/>
      <c r="K120" s="2"/>
      <c r="L120" s="97"/>
    </row>
    <row r="121">
      <c r="E121" s="96"/>
      <c r="K121" s="2"/>
      <c r="L121" s="97"/>
    </row>
    <row r="122">
      <c r="E122" s="96"/>
      <c r="K122" s="2"/>
      <c r="L122" s="97"/>
    </row>
    <row r="123">
      <c r="E123" s="96"/>
      <c r="K123" s="2"/>
      <c r="L123" s="97"/>
    </row>
    <row r="124">
      <c r="E124" s="96"/>
      <c r="K124" s="2"/>
      <c r="L124" s="97"/>
    </row>
    <row r="125">
      <c r="E125" s="96"/>
      <c r="K125" s="2"/>
      <c r="L125" s="97"/>
    </row>
    <row r="126">
      <c r="E126" s="96"/>
      <c r="K126" s="2"/>
      <c r="L126" s="97"/>
    </row>
    <row r="127">
      <c r="E127" s="96"/>
      <c r="K127" s="2"/>
      <c r="L127" s="97"/>
    </row>
    <row r="128">
      <c r="E128" s="96"/>
      <c r="K128" s="2"/>
      <c r="L128" s="97"/>
    </row>
    <row r="129">
      <c r="E129" s="96"/>
      <c r="K129" s="2"/>
      <c r="L129" s="97"/>
    </row>
    <row r="130">
      <c r="E130" s="96"/>
      <c r="K130" s="2"/>
      <c r="L130" s="97"/>
    </row>
    <row r="131">
      <c r="E131" s="96"/>
      <c r="K131" s="2"/>
      <c r="L131" s="97"/>
    </row>
    <row r="132">
      <c r="E132" s="96"/>
      <c r="K132" s="2"/>
      <c r="L132" s="97"/>
    </row>
    <row r="133">
      <c r="E133" s="96"/>
      <c r="K133" s="2"/>
      <c r="L133" s="97"/>
    </row>
    <row r="134">
      <c r="E134" s="96"/>
      <c r="K134" s="2"/>
      <c r="L134" s="97"/>
    </row>
    <row r="135">
      <c r="E135" s="96"/>
      <c r="K135" s="2"/>
      <c r="L135" s="97"/>
    </row>
    <row r="136">
      <c r="E136" s="96"/>
      <c r="K136" s="2"/>
      <c r="L136" s="97"/>
    </row>
    <row r="137">
      <c r="E137" s="96"/>
      <c r="K137" s="2"/>
      <c r="L137" s="97"/>
    </row>
    <row r="138">
      <c r="E138" s="96"/>
      <c r="K138" s="2"/>
      <c r="L138" s="97"/>
    </row>
    <row r="139">
      <c r="E139" s="96"/>
      <c r="K139" s="2"/>
      <c r="L139" s="97"/>
    </row>
    <row r="140">
      <c r="E140" s="96"/>
      <c r="K140" s="2"/>
      <c r="L140" s="97"/>
    </row>
    <row r="141">
      <c r="E141" s="96"/>
      <c r="K141" s="2"/>
      <c r="L141" s="97"/>
    </row>
    <row r="142">
      <c r="E142" s="96"/>
      <c r="K142" s="2"/>
      <c r="L142" s="97"/>
    </row>
    <row r="143">
      <c r="E143" s="96"/>
      <c r="K143" s="2"/>
      <c r="L143" s="97"/>
    </row>
    <row r="144">
      <c r="E144" s="96"/>
      <c r="K144" s="2"/>
      <c r="L144" s="97"/>
    </row>
    <row r="145">
      <c r="E145" s="96"/>
      <c r="K145" s="2"/>
      <c r="L145" s="97"/>
    </row>
    <row r="146">
      <c r="E146" s="96"/>
      <c r="K146" s="2"/>
      <c r="L146" s="97"/>
    </row>
    <row r="147">
      <c r="E147" s="96"/>
      <c r="K147" s="2"/>
      <c r="L147" s="97"/>
    </row>
    <row r="148">
      <c r="E148" s="96"/>
      <c r="K148" s="2"/>
      <c r="L148" s="97"/>
    </row>
    <row r="149">
      <c r="E149" s="96"/>
      <c r="K149" s="2"/>
      <c r="L149" s="97"/>
    </row>
    <row r="150">
      <c r="E150" s="96"/>
      <c r="K150" s="2"/>
      <c r="L150" s="97"/>
    </row>
    <row r="151">
      <c r="E151" s="96"/>
      <c r="K151" s="2"/>
      <c r="L151" s="97"/>
    </row>
    <row r="152">
      <c r="E152" s="96"/>
      <c r="K152" s="2"/>
      <c r="L152" s="97"/>
    </row>
    <row r="153">
      <c r="E153" s="96"/>
      <c r="K153" s="2"/>
      <c r="L153" s="97"/>
    </row>
    <row r="154">
      <c r="E154" s="96"/>
      <c r="K154" s="2"/>
      <c r="L154" s="97"/>
    </row>
    <row r="155">
      <c r="E155" s="96"/>
      <c r="K155" s="2"/>
      <c r="L155" s="97"/>
    </row>
    <row r="156">
      <c r="E156" s="96"/>
      <c r="K156" s="2"/>
      <c r="L156" s="97"/>
    </row>
    <row r="157">
      <c r="E157" s="96"/>
      <c r="K157" s="2"/>
      <c r="L157" s="97"/>
    </row>
    <row r="158">
      <c r="E158" s="96"/>
      <c r="K158" s="2"/>
      <c r="L158" s="97"/>
    </row>
    <row r="159">
      <c r="E159" s="96"/>
      <c r="K159" s="2"/>
      <c r="L159" s="97"/>
    </row>
    <row r="160">
      <c r="E160" s="96"/>
      <c r="K160" s="2"/>
      <c r="L160" s="97"/>
    </row>
    <row r="161">
      <c r="E161" s="96"/>
      <c r="K161" s="2"/>
      <c r="L161" s="97"/>
    </row>
    <row r="162">
      <c r="E162" s="96"/>
      <c r="K162" s="2"/>
      <c r="L162" s="97"/>
    </row>
    <row r="163">
      <c r="E163" s="96"/>
      <c r="K163" s="2"/>
      <c r="L163" s="97"/>
    </row>
    <row r="164">
      <c r="E164" s="96"/>
      <c r="K164" s="2"/>
      <c r="L164" s="97"/>
    </row>
    <row r="165">
      <c r="E165" s="96"/>
      <c r="K165" s="2"/>
      <c r="L165" s="97"/>
    </row>
    <row r="166">
      <c r="E166" s="96"/>
      <c r="K166" s="2"/>
      <c r="L166" s="97"/>
    </row>
    <row r="167">
      <c r="E167" s="96"/>
      <c r="K167" s="2"/>
      <c r="L167" s="97"/>
    </row>
    <row r="168">
      <c r="E168" s="96"/>
      <c r="K168" s="2"/>
      <c r="L168" s="97"/>
    </row>
    <row r="169">
      <c r="E169" s="96"/>
      <c r="K169" s="2"/>
      <c r="L169" s="97"/>
    </row>
    <row r="170">
      <c r="E170" s="96"/>
      <c r="K170" s="2"/>
      <c r="L170" s="97"/>
    </row>
    <row r="171">
      <c r="E171" s="96"/>
      <c r="K171" s="2"/>
      <c r="L171" s="97"/>
    </row>
    <row r="172">
      <c r="E172" s="96"/>
      <c r="K172" s="2"/>
      <c r="L172" s="97"/>
    </row>
    <row r="173">
      <c r="E173" s="96"/>
      <c r="K173" s="2"/>
      <c r="L173" s="97"/>
    </row>
    <row r="174">
      <c r="E174" s="96"/>
      <c r="K174" s="2"/>
      <c r="L174" s="97"/>
    </row>
    <row r="175">
      <c r="E175" s="96"/>
      <c r="K175" s="2"/>
      <c r="L175" s="97"/>
    </row>
    <row r="176">
      <c r="E176" s="96"/>
      <c r="K176" s="2"/>
      <c r="L176" s="97"/>
    </row>
    <row r="177">
      <c r="E177" s="96"/>
      <c r="K177" s="2"/>
      <c r="L177" s="97"/>
    </row>
    <row r="178">
      <c r="E178" s="96"/>
      <c r="K178" s="2"/>
      <c r="L178" s="97"/>
    </row>
    <row r="179">
      <c r="E179" s="96"/>
      <c r="K179" s="2"/>
      <c r="L179" s="97"/>
    </row>
    <row r="180">
      <c r="E180" s="96"/>
      <c r="K180" s="2"/>
      <c r="L180" s="97"/>
    </row>
    <row r="181">
      <c r="E181" s="96"/>
      <c r="K181" s="2"/>
      <c r="L181" s="97"/>
    </row>
    <row r="182">
      <c r="E182" s="96"/>
      <c r="K182" s="2"/>
      <c r="L182" s="97"/>
    </row>
    <row r="183">
      <c r="E183" s="96"/>
      <c r="K183" s="2"/>
      <c r="L183" s="97"/>
    </row>
    <row r="184">
      <c r="E184" s="96"/>
      <c r="K184" s="2"/>
      <c r="L184" s="97"/>
    </row>
    <row r="185">
      <c r="E185" s="96"/>
      <c r="K185" s="2"/>
      <c r="L185" s="97"/>
    </row>
    <row r="186">
      <c r="E186" s="96"/>
      <c r="K186" s="2"/>
      <c r="L186" s="97"/>
    </row>
    <row r="187">
      <c r="E187" s="96"/>
      <c r="K187" s="2"/>
      <c r="L187" s="97"/>
    </row>
    <row r="188">
      <c r="E188" s="96"/>
      <c r="K188" s="2"/>
      <c r="L188" s="97"/>
    </row>
    <row r="189">
      <c r="E189" s="96"/>
      <c r="K189" s="2"/>
      <c r="L189" s="97"/>
    </row>
    <row r="190">
      <c r="E190" s="96"/>
      <c r="K190" s="2"/>
      <c r="L190" s="97"/>
    </row>
    <row r="191">
      <c r="E191" s="96"/>
      <c r="K191" s="2"/>
      <c r="L191" s="97"/>
    </row>
    <row r="192">
      <c r="E192" s="96"/>
      <c r="K192" s="2"/>
      <c r="L192" s="97"/>
    </row>
    <row r="193">
      <c r="E193" s="96"/>
      <c r="K193" s="2"/>
      <c r="L193" s="97"/>
    </row>
    <row r="194">
      <c r="E194" s="96"/>
      <c r="K194" s="2"/>
      <c r="L194" s="97"/>
    </row>
    <row r="195">
      <c r="E195" s="96"/>
      <c r="K195" s="2"/>
      <c r="L195" s="97"/>
    </row>
    <row r="196">
      <c r="E196" s="96"/>
      <c r="K196" s="2"/>
      <c r="L196" s="97"/>
    </row>
    <row r="197">
      <c r="E197" s="96"/>
      <c r="K197" s="2"/>
      <c r="L197" s="97"/>
    </row>
    <row r="198">
      <c r="E198" s="96"/>
      <c r="K198" s="2"/>
      <c r="L198" s="97"/>
    </row>
    <row r="199">
      <c r="E199" s="96"/>
      <c r="K199" s="2"/>
      <c r="L199" s="97"/>
    </row>
    <row r="200">
      <c r="E200" s="96"/>
      <c r="K200" s="2"/>
      <c r="L200" s="97"/>
    </row>
    <row r="201">
      <c r="E201" s="96"/>
      <c r="K201" s="2"/>
      <c r="L201" s="97"/>
    </row>
    <row r="202">
      <c r="E202" s="96"/>
      <c r="K202" s="2"/>
      <c r="L202" s="97"/>
    </row>
    <row r="203">
      <c r="E203" s="96"/>
      <c r="K203" s="2"/>
      <c r="L203" s="97"/>
    </row>
    <row r="204">
      <c r="E204" s="96"/>
      <c r="K204" s="2"/>
      <c r="L204" s="97"/>
    </row>
    <row r="205">
      <c r="E205" s="96"/>
      <c r="K205" s="2"/>
      <c r="L205" s="97"/>
    </row>
    <row r="206">
      <c r="E206" s="96"/>
      <c r="K206" s="2"/>
      <c r="L206" s="97"/>
    </row>
    <row r="207">
      <c r="E207" s="96"/>
      <c r="K207" s="2"/>
      <c r="L207" s="97"/>
    </row>
    <row r="208">
      <c r="E208" s="96"/>
      <c r="K208" s="2"/>
      <c r="L208" s="97"/>
    </row>
    <row r="209">
      <c r="E209" s="96"/>
      <c r="K209" s="2"/>
      <c r="L209" s="97"/>
    </row>
    <row r="210">
      <c r="E210" s="96"/>
      <c r="K210" s="2"/>
      <c r="L210" s="97"/>
    </row>
    <row r="211">
      <c r="E211" s="96"/>
      <c r="K211" s="2"/>
      <c r="L211" s="97"/>
    </row>
    <row r="212">
      <c r="E212" s="96"/>
      <c r="K212" s="2"/>
      <c r="L212" s="97"/>
    </row>
    <row r="213">
      <c r="E213" s="96"/>
      <c r="K213" s="2"/>
      <c r="L213" s="97"/>
    </row>
    <row r="214">
      <c r="E214" s="96"/>
      <c r="K214" s="2"/>
      <c r="L214" s="97"/>
    </row>
    <row r="215">
      <c r="E215" s="96"/>
      <c r="K215" s="2"/>
      <c r="L215" s="97"/>
    </row>
    <row r="216">
      <c r="E216" s="96"/>
      <c r="K216" s="2"/>
      <c r="L216" s="97"/>
    </row>
    <row r="217">
      <c r="E217" s="96"/>
      <c r="K217" s="2"/>
      <c r="L217" s="97"/>
    </row>
    <row r="218">
      <c r="E218" s="96"/>
      <c r="K218" s="2"/>
      <c r="L218" s="97"/>
    </row>
    <row r="219">
      <c r="E219" s="96"/>
      <c r="K219" s="2"/>
      <c r="L219" s="97"/>
    </row>
    <row r="220">
      <c r="E220" s="96"/>
      <c r="K220" s="2"/>
      <c r="L220" s="97"/>
    </row>
    <row r="221">
      <c r="E221" s="96"/>
      <c r="K221" s="2"/>
      <c r="L221" s="97"/>
    </row>
    <row r="222">
      <c r="E222" s="96"/>
      <c r="K222" s="2"/>
      <c r="L222" s="97"/>
    </row>
    <row r="223">
      <c r="E223" s="96"/>
      <c r="K223" s="2"/>
      <c r="L223" s="97"/>
    </row>
    <row r="224">
      <c r="E224" s="96"/>
      <c r="K224" s="2"/>
      <c r="L224" s="97"/>
    </row>
    <row r="225">
      <c r="E225" s="96"/>
      <c r="K225" s="2"/>
      <c r="L225" s="97"/>
    </row>
    <row r="226">
      <c r="E226" s="96"/>
      <c r="K226" s="2"/>
      <c r="L226" s="97"/>
    </row>
    <row r="227">
      <c r="E227" s="96"/>
      <c r="K227" s="2"/>
      <c r="L227" s="97"/>
    </row>
    <row r="228">
      <c r="E228" s="96"/>
      <c r="K228" s="2"/>
      <c r="L228" s="97"/>
    </row>
    <row r="229">
      <c r="E229" s="96"/>
      <c r="K229" s="2"/>
      <c r="L229" s="97"/>
    </row>
    <row r="230">
      <c r="E230" s="96"/>
      <c r="K230" s="2"/>
      <c r="L230" s="97"/>
    </row>
    <row r="231">
      <c r="E231" s="96"/>
      <c r="K231" s="2"/>
      <c r="L231" s="97"/>
    </row>
    <row r="232">
      <c r="E232" s="96"/>
      <c r="K232" s="2"/>
      <c r="L232" s="97"/>
    </row>
    <row r="233">
      <c r="E233" s="96"/>
      <c r="K233" s="2"/>
      <c r="L233" s="97"/>
    </row>
    <row r="234">
      <c r="E234" s="96"/>
      <c r="K234" s="2"/>
      <c r="L234" s="97"/>
    </row>
    <row r="235">
      <c r="E235" s="96"/>
      <c r="K235" s="2"/>
      <c r="L235" s="97"/>
    </row>
    <row r="236">
      <c r="E236" s="96"/>
      <c r="K236" s="2"/>
      <c r="L236" s="97"/>
    </row>
    <row r="237">
      <c r="E237" s="96"/>
      <c r="K237" s="2"/>
      <c r="L237" s="97"/>
    </row>
    <row r="238">
      <c r="E238" s="96"/>
      <c r="K238" s="2"/>
      <c r="L238" s="97"/>
    </row>
    <row r="239">
      <c r="E239" s="96"/>
      <c r="K239" s="2"/>
      <c r="L239" s="97"/>
    </row>
    <row r="240">
      <c r="E240" s="96"/>
      <c r="K240" s="2"/>
      <c r="L240" s="97"/>
    </row>
    <row r="241">
      <c r="E241" s="96"/>
      <c r="K241" s="2"/>
      <c r="L241" s="97"/>
    </row>
    <row r="242">
      <c r="E242" s="96"/>
      <c r="K242" s="2"/>
      <c r="L242" s="97"/>
    </row>
    <row r="243">
      <c r="E243" s="96"/>
      <c r="K243" s="2"/>
      <c r="L243" s="97"/>
    </row>
    <row r="244">
      <c r="E244" s="96"/>
      <c r="K244" s="2"/>
      <c r="L244" s="97"/>
    </row>
    <row r="245">
      <c r="E245" s="96"/>
      <c r="K245" s="2"/>
      <c r="L245" s="97"/>
    </row>
    <row r="246">
      <c r="E246" s="96"/>
      <c r="K246" s="2"/>
      <c r="L246" s="97"/>
    </row>
    <row r="247">
      <c r="E247" s="96"/>
      <c r="K247" s="2"/>
      <c r="L247" s="97"/>
    </row>
    <row r="248">
      <c r="E248" s="96"/>
      <c r="K248" s="2"/>
      <c r="L248" s="97"/>
    </row>
    <row r="249">
      <c r="E249" s="96"/>
      <c r="K249" s="2"/>
      <c r="L249" s="97"/>
    </row>
    <row r="250">
      <c r="E250" s="96"/>
      <c r="K250" s="2"/>
      <c r="L250" s="97"/>
    </row>
    <row r="251">
      <c r="E251" s="96"/>
      <c r="K251" s="2"/>
      <c r="L251" s="97"/>
    </row>
    <row r="252">
      <c r="E252" s="96"/>
      <c r="K252" s="2"/>
      <c r="L252" s="97"/>
    </row>
    <row r="253">
      <c r="E253" s="96"/>
      <c r="K253" s="2"/>
      <c r="L253" s="97"/>
    </row>
    <row r="254">
      <c r="E254" s="96"/>
      <c r="K254" s="2"/>
      <c r="L254" s="97"/>
    </row>
    <row r="255">
      <c r="E255" s="96"/>
      <c r="K255" s="2"/>
      <c r="L255" s="97"/>
    </row>
    <row r="256">
      <c r="E256" s="96"/>
      <c r="K256" s="2"/>
      <c r="L256" s="97"/>
    </row>
    <row r="257">
      <c r="E257" s="96"/>
      <c r="K257" s="2"/>
      <c r="L257" s="97"/>
    </row>
    <row r="258">
      <c r="E258" s="96"/>
      <c r="K258" s="2"/>
      <c r="L258" s="97"/>
    </row>
    <row r="259">
      <c r="E259" s="96"/>
      <c r="K259" s="2"/>
      <c r="L259" s="97"/>
    </row>
    <row r="260">
      <c r="E260" s="96"/>
      <c r="K260" s="2"/>
      <c r="L260" s="97"/>
    </row>
    <row r="261">
      <c r="E261" s="96"/>
      <c r="K261" s="2"/>
      <c r="L261" s="97"/>
    </row>
    <row r="262">
      <c r="E262" s="96"/>
      <c r="K262" s="2"/>
      <c r="L262" s="97"/>
    </row>
    <row r="263">
      <c r="E263" s="96"/>
      <c r="K263" s="2"/>
      <c r="L263" s="97"/>
    </row>
    <row r="264">
      <c r="E264" s="96"/>
      <c r="K264" s="2"/>
      <c r="L264" s="97"/>
    </row>
    <row r="265">
      <c r="E265" s="96"/>
      <c r="K265" s="2"/>
      <c r="L265" s="97"/>
    </row>
    <row r="266">
      <c r="E266" s="96"/>
      <c r="K266" s="2"/>
      <c r="L266" s="97"/>
    </row>
    <row r="267">
      <c r="E267" s="96"/>
      <c r="K267" s="2"/>
      <c r="L267" s="97"/>
    </row>
    <row r="268">
      <c r="E268" s="96"/>
      <c r="K268" s="2"/>
      <c r="L268" s="97"/>
    </row>
    <row r="269">
      <c r="E269" s="96"/>
      <c r="K269" s="2"/>
      <c r="L269" s="97"/>
    </row>
    <row r="270">
      <c r="E270" s="96"/>
      <c r="K270" s="2"/>
      <c r="L270" s="97"/>
    </row>
    <row r="271">
      <c r="E271" s="96"/>
      <c r="K271" s="2"/>
      <c r="L271" s="97"/>
    </row>
    <row r="272">
      <c r="E272" s="96"/>
      <c r="K272" s="2"/>
      <c r="L272" s="97"/>
    </row>
    <row r="273">
      <c r="E273" s="96"/>
      <c r="K273" s="2"/>
      <c r="L273" s="97"/>
    </row>
    <row r="274">
      <c r="E274" s="96"/>
      <c r="K274" s="2"/>
      <c r="L274" s="97"/>
    </row>
    <row r="275">
      <c r="E275" s="96"/>
      <c r="K275" s="2"/>
      <c r="L275" s="97"/>
    </row>
    <row r="276">
      <c r="E276" s="96"/>
      <c r="K276" s="2"/>
      <c r="L276" s="97"/>
    </row>
    <row r="277">
      <c r="E277" s="96"/>
      <c r="K277" s="2"/>
      <c r="L277" s="97"/>
    </row>
    <row r="278">
      <c r="E278" s="96"/>
      <c r="K278" s="2"/>
      <c r="L278" s="97"/>
    </row>
    <row r="279">
      <c r="E279" s="96"/>
      <c r="K279" s="2"/>
      <c r="L279" s="97"/>
    </row>
    <row r="280">
      <c r="E280" s="96"/>
      <c r="K280" s="2"/>
      <c r="L280" s="97"/>
    </row>
    <row r="281">
      <c r="E281" s="96"/>
      <c r="K281" s="2"/>
      <c r="L281" s="97"/>
    </row>
    <row r="282">
      <c r="E282" s="96"/>
      <c r="K282" s="2"/>
      <c r="L282" s="97"/>
    </row>
    <row r="283">
      <c r="E283" s="96"/>
      <c r="K283" s="2"/>
      <c r="L283" s="97"/>
    </row>
    <row r="284">
      <c r="E284" s="96"/>
      <c r="K284" s="2"/>
      <c r="L284" s="97"/>
    </row>
    <row r="285">
      <c r="E285" s="96"/>
      <c r="K285" s="2"/>
      <c r="L285" s="97"/>
    </row>
    <row r="286">
      <c r="E286" s="96"/>
      <c r="K286" s="2"/>
      <c r="L286" s="97"/>
    </row>
    <row r="287">
      <c r="E287" s="96"/>
      <c r="K287" s="2"/>
      <c r="L287" s="97"/>
    </row>
    <row r="288">
      <c r="E288" s="96"/>
      <c r="K288" s="2"/>
      <c r="L288" s="97"/>
    </row>
    <row r="289">
      <c r="E289" s="96"/>
      <c r="K289" s="2"/>
      <c r="L289" s="97"/>
    </row>
    <row r="290">
      <c r="E290" s="96"/>
      <c r="K290" s="2"/>
      <c r="L290" s="97"/>
    </row>
    <row r="291">
      <c r="E291" s="96"/>
      <c r="K291" s="2"/>
      <c r="L291" s="97"/>
    </row>
    <row r="292">
      <c r="E292" s="96"/>
      <c r="K292" s="2"/>
      <c r="L292" s="97"/>
    </row>
    <row r="293">
      <c r="E293" s="96"/>
      <c r="K293" s="2"/>
      <c r="L293" s="97"/>
    </row>
    <row r="294">
      <c r="E294" s="96"/>
      <c r="K294" s="2"/>
      <c r="L294" s="97"/>
    </row>
    <row r="295">
      <c r="E295" s="96"/>
      <c r="K295" s="2"/>
      <c r="L295" s="97"/>
    </row>
    <row r="296">
      <c r="E296" s="96"/>
      <c r="K296" s="2"/>
      <c r="L296" s="97"/>
    </row>
    <row r="297">
      <c r="E297" s="96"/>
      <c r="K297" s="2"/>
      <c r="L297" s="97"/>
    </row>
    <row r="298">
      <c r="E298" s="96"/>
      <c r="K298" s="2"/>
      <c r="L298" s="97"/>
    </row>
    <row r="299">
      <c r="E299" s="96"/>
      <c r="K299" s="2"/>
      <c r="L299" s="97"/>
    </row>
    <row r="300">
      <c r="E300" s="96"/>
      <c r="K300" s="2"/>
      <c r="L300" s="97"/>
    </row>
    <row r="301">
      <c r="E301" s="96"/>
      <c r="K301" s="2"/>
      <c r="L301" s="97"/>
    </row>
    <row r="302">
      <c r="E302" s="96"/>
      <c r="K302" s="2"/>
      <c r="L302" s="97"/>
    </row>
    <row r="303">
      <c r="E303" s="96"/>
      <c r="K303" s="2"/>
      <c r="L303" s="97"/>
    </row>
    <row r="304">
      <c r="E304" s="96"/>
      <c r="K304" s="2"/>
      <c r="L304" s="97"/>
    </row>
    <row r="305">
      <c r="E305" s="96"/>
      <c r="K305" s="2"/>
      <c r="L305" s="97"/>
    </row>
    <row r="306">
      <c r="E306" s="96"/>
      <c r="K306" s="2"/>
      <c r="L306" s="97"/>
    </row>
    <row r="307">
      <c r="E307" s="96"/>
      <c r="K307" s="2"/>
      <c r="L307" s="97"/>
    </row>
    <row r="308">
      <c r="E308" s="96"/>
      <c r="K308" s="2"/>
      <c r="L308" s="97"/>
    </row>
    <row r="309">
      <c r="E309" s="96"/>
      <c r="K309" s="2"/>
      <c r="L309" s="97"/>
    </row>
    <row r="310">
      <c r="E310" s="96"/>
      <c r="K310" s="2"/>
      <c r="L310" s="97"/>
    </row>
    <row r="311">
      <c r="E311" s="96"/>
      <c r="K311" s="2"/>
      <c r="L311" s="97"/>
    </row>
    <row r="312">
      <c r="E312" s="96"/>
      <c r="K312" s="2"/>
      <c r="L312" s="97"/>
    </row>
    <row r="313">
      <c r="E313" s="96"/>
      <c r="K313" s="2"/>
      <c r="L313" s="97"/>
    </row>
    <row r="314">
      <c r="E314" s="96"/>
      <c r="K314" s="2"/>
      <c r="L314" s="97"/>
    </row>
    <row r="315">
      <c r="E315" s="96"/>
      <c r="K315" s="2"/>
      <c r="L315" s="97"/>
    </row>
    <row r="316">
      <c r="E316" s="96"/>
      <c r="K316" s="2"/>
      <c r="L316" s="97"/>
    </row>
    <row r="317">
      <c r="E317" s="96"/>
      <c r="K317" s="2"/>
      <c r="L317" s="97"/>
    </row>
    <row r="318">
      <c r="E318" s="96"/>
      <c r="K318" s="2"/>
      <c r="L318" s="97"/>
    </row>
    <row r="319">
      <c r="E319" s="96"/>
      <c r="K319" s="2"/>
      <c r="L319" s="97"/>
    </row>
    <row r="320">
      <c r="E320" s="96"/>
      <c r="K320" s="2"/>
      <c r="L320" s="97"/>
    </row>
    <row r="321">
      <c r="E321" s="96"/>
      <c r="K321" s="2"/>
      <c r="L321" s="97"/>
    </row>
    <row r="322">
      <c r="E322" s="96"/>
      <c r="K322" s="2"/>
      <c r="L322" s="97"/>
    </row>
    <row r="323">
      <c r="E323" s="96"/>
      <c r="K323" s="2"/>
      <c r="L323" s="97"/>
    </row>
    <row r="324">
      <c r="E324" s="96"/>
      <c r="K324" s="2"/>
      <c r="L324" s="97"/>
    </row>
    <row r="325">
      <c r="E325" s="96"/>
      <c r="K325" s="2"/>
      <c r="L325" s="97"/>
    </row>
    <row r="326">
      <c r="E326" s="96"/>
      <c r="K326" s="2"/>
      <c r="L326" s="97"/>
    </row>
    <row r="327">
      <c r="E327" s="96"/>
      <c r="K327" s="2"/>
      <c r="L327" s="97"/>
    </row>
    <row r="328">
      <c r="E328" s="96"/>
      <c r="K328" s="2"/>
      <c r="L328" s="97"/>
    </row>
    <row r="329">
      <c r="E329" s="96"/>
      <c r="K329" s="2"/>
      <c r="L329" s="97"/>
    </row>
    <row r="330">
      <c r="E330" s="96"/>
      <c r="K330" s="2"/>
      <c r="L330" s="97"/>
    </row>
    <row r="331">
      <c r="E331" s="96"/>
      <c r="K331" s="2"/>
      <c r="L331" s="97"/>
    </row>
    <row r="332">
      <c r="E332" s="96"/>
      <c r="K332" s="2"/>
      <c r="L332" s="97"/>
    </row>
    <row r="333">
      <c r="E333" s="96"/>
      <c r="K333" s="2"/>
      <c r="L333" s="97"/>
    </row>
    <row r="334">
      <c r="E334" s="96"/>
      <c r="K334" s="2"/>
      <c r="L334" s="97"/>
    </row>
    <row r="335">
      <c r="E335" s="96"/>
      <c r="K335" s="2"/>
      <c r="L335" s="97"/>
    </row>
    <row r="336">
      <c r="E336" s="96"/>
      <c r="K336" s="2"/>
      <c r="L336" s="97"/>
    </row>
    <row r="337">
      <c r="E337" s="96"/>
      <c r="K337" s="2"/>
      <c r="L337" s="97"/>
    </row>
    <row r="338">
      <c r="E338" s="96"/>
      <c r="K338" s="2"/>
      <c r="L338" s="97"/>
    </row>
    <row r="339">
      <c r="E339" s="96"/>
      <c r="K339" s="2"/>
      <c r="L339" s="97"/>
    </row>
    <row r="340">
      <c r="E340" s="96"/>
      <c r="K340" s="2"/>
      <c r="L340" s="97"/>
    </row>
    <row r="341">
      <c r="E341" s="96"/>
      <c r="K341" s="2"/>
      <c r="L341" s="97"/>
    </row>
    <row r="342">
      <c r="E342" s="96"/>
      <c r="K342" s="2"/>
      <c r="L342" s="97"/>
    </row>
    <row r="343">
      <c r="E343" s="96"/>
      <c r="K343" s="2"/>
      <c r="L343" s="97"/>
    </row>
    <row r="344">
      <c r="E344" s="96"/>
      <c r="K344" s="2"/>
      <c r="L344" s="97"/>
    </row>
    <row r="345">
      <c r="E345" s="96"/>
      <c r="K345" s="2"/>
      <c r="L345" s="97"/>
    </row>
    <row r="346">
      <c r="E346" s="96"/>
      <c r="K346" s="2"/>
      <c r="L346" s="97"/>
    </row>
    <row r="347">
      <c r="E347" s="96"/>
      <c r="K347" s="2"/>
      <c r="L347" s="97"/>
    </row>
    <row r="348">
      <c r="E348" s="96"/>
      <c r="K348" s="2"/>
      <c r="L348" s="97"/>
    </row>
    <row r="349">
      <c r="E349" s="96"/>
      <c r="K349" s="2"/>
      <c r="L349" s="97"/>
    </row>
    <row r="350">
      <c r="E350" s="96"/>
      <c r="K350" s="2"/>
      <c r="L350" s="97"/>
    </row>
    <row r="351">
      <c r="E351" s="96"/>
      <c r="K351" s="2"/>
      <c r="L351" s="97"/>
    </row>
    <row r="352">
      <c r="E352" s="96"/>
      <c r="K352" s="2"/>
      <c r="L352" s="97"/>
    </row>
    <row r="353">
      <c r="E353" s="96"/>
      <c r="K353" s="2"/>
      <c r="L353" s="97"/>
    </row>
    <row r="354">
      <c r="E354" s="96"/>
      <c r="K354" s="2"/>
      <c r="L354" s="97"/>
    </row>
    <row r="355">
      <c r="E355" s="96"/>
      <c r="K355" s="2"/>
      <c r="L355" s="97"/>
    </row>
    <row r="356">
      <c r="E356" s="96"/>
      <c r="K356" s="2"/>
      <c r="L356" s="97"/>
    </row>
    <row r="357">
      <c r="E357" s="96"/>
      <c r="K357" s="2"/>
      <c r="L357" s="97"/>
    </row>
    <row r="358">
      <c r="E358" s="96"/>
      <c r="K358" s="2"/>
      <c r="L358" s="97"/>
    </row>
    <row r="359">
      <c r="E359" s="96"/>
      <c r="K359" s="2"/>
      <c r="L359" s="97"/>
    </row>
    <row r="360">
      <c r="E360" s="96"/>
      <c r="K360" s="2"/>
      <c r="L360" s="97"/>
    </row>
    <row r="361">
      <c r="E361" s="96"/>
      <c r="K361" s="2"/>
      <c r="L361" s="97"/>
    </row>
    <row r="362">
      <c r="E362" s="96"/>
      <c r="K362" s="2"/>
      <c r="L362" s="97"/>
    </row>
    <row r="363">
      <c r="E363" s="96"/>
      <c r="K363" s="2"/>
      <c r="L363" s="97"/>
    </row>
    <row r="364">
      <c r="E364" s="96"/>
      <c r="K364" s="2"/>
      <c r="L364" s="97"/>
    </row>
    <row r="365">
      <c r="E365" s="96"/>
      <c r="K365" s="2"/>
      <c r="L365" s="97"/>
    </row>
    <row r="366">
      <c r="E366" s="96"/>
      <c r="K366" s="2"/>
      <c r="L366" s="97"/>
    </row>
    <row r="367">
      <c r="E367" s="96"/>
      <c r="K367" s="2"/>
      <c r="L367" s="97"/>
    </row>
    <row r="368">
      <c r="E368" s="96"/>
      <c r="K368" s="2"/>
      <c r="L368" s="97"/>
    </row>
    <row r="369">
      <c r="E369" s="96"/>
      <c r="K369" s="2"/>
      <c r="L369" s="97"/>
    </row>
    <row r="370">
      <c r="E370" s="96"/>
      <c r="K370" s="2"/>
      <c r="L370" s="97"/>
    </row>
    <row r="371">
      <c r="E371" s="96"/>
      <c r="K371" s="2"/>
      <c r="L371" s="97"/>
    </row>
    <row r="372">
      <c r="E372" s="96"/>
      <c r="K372" s="2"/>
      <c r="L372" s="97"/>
    </row>
    <row r="373">
      <c r="E373" s="96"/>
      <c r="K373" s="2"/>
      <c r="L373" s="97"/>
    </row>
    <row r="374">
      <c r="E374" s="96"/>
      <c r="K374" s="2"/>
      <c r="L374" s="97"/>
    </row>
    <row r="375">
      <c r="E375" s="96"/>
      <c r="K375" s="2"/>
      <c r="L375" s="97"/>
    </row>
    <row r="376">
      <c r="E376" s="96"/>
      <c r="K376" s="2"/>
      <c r="L376" s="97"/>
    </row>
    <row r="377">
      <c r="E377" s="96"/>
      <c r="K377" s="2"/>
      <c r="L377" s="97"/>
    </row>
    <row r="378">
      <c r="E378" s="96"/>
      <c r="K378" s="2"/>
      <c r="L378" s="97"/>
    </row>
    <row r="379">
      <c r="E379" s="96"/>
      <c r="K379" s="2"/>
      <c r="L379" s="97"/>
    </row>
    <row r="380">
      <c r="E380" s="96"/>
      <c r="K380" s="2"/>
      <c r="L380" s="97"/>
    </row>
    <row r="381">
      <c r="E381" s="96"/>
      <c r="K381" s="2"/>
      <c r="L381" s="97"/>
    </row>
    <row r="382">
      <c r="E382" s="96"/>
      <c r="K382" s="2"/>
      <c r="L382" s="97"/>
    </row>
    <row r="383">
      <c r="E383" s="96"/>
      <c r="K383" s="2"/>
      <c r="L383" s="97"/>
    </row>
    <row r="384">
      <c r="E384" s="96"/>
      <c r="K384" s="2"/>
      <c r="L384" s="97"/>
    </row>
    <row r="385">
      <c r="E385" s="96"/>
      <c r="K385" s="2"/>
      <c r="L385" s="97"/>
    </row>
    <row r="386">
      <c r="E386" s="96"/>
      <c r="K386" s="2"/>
      <c r="L386" s="97"/>
    </row>
    <row r="387">
      <c r="E387" s="96"/>
      <c r="K387" s="2"/>
      <c r="L387" s="97"/>
    </row>
    <row r="388">
      <c r="E388" s="96"/>
      <c r="K388" s="2"/>
      <c r="L388" s="97"/>
    </row>
    <row r="389">
      <c r="E389" s="96"/>
      <c r="K389" s="2"/>
      <c r="L389" s="97"/>
    </row>
    <row r="390">
      <c r="E390" s="96"/>
      <c r="K390" s="2"/>
      <c r="L390" s="97"/>
    </row>
    <row r="391">
      <c r="E391" s="96"/>
      <c r="K391" s="2"/>
      <c r="L391" s="97"/>
    </row>
    <row r="392">
      <c r="E392" s="96"/>
      <c r="K392" s="2"/>
      <c r="L392" s="97"/>
    </row>
    <row r="393">
      <c r="E393" s="96"/>
      <c r="K393" s="2"/>
      <c r="L393" s="97"/>
    </row>
    <row r="394">
      <c r="E394" s="96"/>
      <c r="K394" s="2"/>
      <c r="L394" s="97"/>
    </row>
    <row r="395">
      <c r="E395" s="96"/>
      <c r="K395" s="2"/>
      <c r="L395" s="97"/>
    </row>
    <row r="396">
      <c r="E396" s="96"/>
      <c r="K396" s="2"/>
      <c r="L396" s="97"/>
    </row>
    <row r="397">
      <c r="E397" s="96"/>
      <c r="K397" s="2"/>
      <c r="L397" s="97"/>
    </row>
    <row r="398">
      <c r="E398" s="96"/>
      <c r="K398" s="2"/>
      <c r="L398" s="97"/>
    </row>
    <row r="399">
      <c r="E399" s="96"/>
      <c r="K399" s="2"/>
      <c r="L399" s="97"/>
    </row>
    <row r="400">
      <c r="E400" s="96"/>
      <c r="K400" s="2"/>
      <c r="L400" s="97"/>
    </row>
    <row r="401">
      <c r="E401" s="96"/>
      <c r="K401" s="2"/>
      <c r="L401" s="97"/>
    </row>
    <row r="402">
      <c r="E402" s="96"/>
      <c r="K402" s="2"/>
      <c r="L402" s="97"/>
    </row>
    <row r="403">
      <c r="E403" s="96"/>
      <c r="K403" s="2"/>
      <c r="L403" s="97"/>
    </row>
    <row r="404">
      <c r="E404" s="96"/>
      <c r="K404" s="2"/>
      <c r="L404" s="97"/>
    </row>
    <row r="405">
      <c r="E405" s="96"/>
      <c r="K405" s="2"/>
      <c r="L405" s="97"/>
    </row>
    <row r="406">
      <c r="E406" s="96"/>
      <c r="K406" s="2"/>
      <c r="L406" s="97"/>
    </row>
    <row r="407">
      <c r="E407" s="96"/>
      <c r="K407" s="2"/>
      <c r="L407" s="97"/>
    </row>
    <row r="408">
      <c r="E408" s="96"/>
      <c r="K408" s="2"/>
      <c r="L408" s="97"/>
    </row>
    <row r="409">
      <c r="E409" s="96"/>
      <c r="K409" s="2"/>
      <c r="L409" s="97"/>
    </row>
    <row r="410">
      <c r="E410" s="96"/>
      <c r="K410" s="2"/>
      <c r="L410" s="97"/>
    </row>
    <row r="411">
      <c r="E411" s="96"/>
      <c r="K411" s="2"/>
      <c r="L411" s="97"/>
    </row>
    <row r="412">
      <c r="E412" s="96"/>
      <c r="K412" s="2"/>
      <c r="L412" s="97"/>
    </row>
    <row r="413">
      <c r="E413" s="96"/>
      <c r="K413" s="2"/>
      <c r="L413" s="97"/>
    </row>
    <row r="414">
      <c r="E414" s="96"/>
      <c r="K414" s="2"/>
      <c r="L414" s="97"/>
    </row>
    <row r="415">
      <c r="E415" s="96"/>
      <c r="K415" s="2"/>
      <c r="L415" s="97"/>
    </row>
    <row r="416">
      <c r="E416" s="96"/>
      <c r="K416" s="2"/>
      <c r="L416" s="97"/>
    </row>
    <row r="417">
      <c r="E417" s="96"/>
      <c r="K417" s="2"/>
      <c r="L417" s="97"/>
    </row>
    <row r="418">
      <c r="E418" s="96"/>
      <c r="K418" s="2"/>
      <c r="L418" s="97"/>
    </row>
    <row r="419">
      <c r="E419" s="96"/>
      <c r="K419" s="2"/>
      <c r="L419" s="97"/>
    </row>
    <row r="420">
      <c r="E420" s="96"/>
      <c r="K420" s="2"/>
      <c r="L420" s="97"/>
    </row>
    <row r="421">
      <c r="E421" s="96"/>
      <c r="K421" s="2"/>
      <c r="L421" s="97"/>
    </row>
    <row r="422">
      <c r="E422" s="96"/>
      <c r="K422" s="2"/>
      <c r="L422" s="97"/>
    </row>
    <row r="423">
      <c r="E423" s="96"/>
      <c r="K423" s="2"/>
      <c r="L423" s="97"/>
    </row>
    <row r="424">
      <c r="E424" s="96"/>
      <c r="K424" s="2"/>
      <c r="L424" s="97"/>
    </row>
    <row r="425">
      <c r="E425" s="96"/>
      <c r="K425" s="2"/>
      <c r="L425" s="97"/>
    </row>
    <row r="426">
      <c r="E426" s="96"/>
      <c r="K426" s="2"/>
      <c r="L426" s="97"/>
    </row>
    <row r="427">
      <c r="E427" s="96"/>
      <c r="K427" s="2"/>
      <c r="L427" s="97"/>
    </row>
    <row r="428">
      <c r="E428" s="96"/>
      <c r="K428" s="2"/>
      <c r="L428" s="97"/>
    </row>
    <row r="429">
      <c r="E429" s="96"/>
      <c r="K429" s="2"/>
      <c r="L429" s="97"/>
    </row>
    <row r="430">
      <c r="E430" s="96"/>
      <c r="K430" s="2"/>
      <c r="L430" s="97"/>
    </row>
    <row r="431">
      <c r="E431" s="96"/>
      <c r="K431" s="2"/>
      <c r="L431" s="97"/>
    </row>
    <row r="432">
      <c r="E432" s="96"/>
      <c r="K432" s="2"/>
      <c r="L432" s="97"/>
    </row>
    <row r="433">
      <c r="E433" s="96"/>
      <c r="K433" s="2"/>
      <c r="L433" s="97"/>
    </row>
    <row r="434">
      <c r="E434" s="96"/>
      <c r="K434" s="2"/>
      <c r="L434" s="97"/>
    </row>
    <row r="435">
      <c r="E435" s="96"/>
      <c r="K435" s="2"/>
      <c r="L435" s="97"/>
    </row>
    <row r="436">
      <c r="E436" s="96"/>
      <c r="K436" s="2"/>
      <c r="L436" s="97"/>
    </row>
    <row r="437">
      <c r="E437" s="96"/>
      <c r="K437" s="2"/>
      <c r="L437" s="97"/>
    </row>
    <row r="438">
      <c r="E438" s="96"/>
      <c r="K438" s="2"/>
      <c r="L438" s="97"/>
    </row>
    <row r="439">
      <c r="E439" s="96"/>
      <c r="K439" s="2"/>
      <c r="L439" s="97"/>
    </row>
    <row r="440">
      <c r="E440" s="96"/>
      <c r="K440" s="2"/>
      <c r="L440" s="97"/>
    </row>
    <row r="441">
      <c r="E441" s="96"/>
      <c r="K441" s="2"/>
      <c r="L441" s="97"/>
    </row>
    <row r="442">
      <c r="E442" s="96"/>
      <c r="K442" s="2"/>
      <c r="L442" s="97"/>
    </row>
    <row r="443">
      <c r="E443" s="96"/>
      <c r="K443" s="2"/>
      <c r="L443" s="97"/>
    </row>
    <row r="444">
      <c r="E444" s="96"/>
      <c r="K444" s="2"/>
      <c r="L444" s="97"/>
    </row>
    <row r="445">
      <c r="E445" s="96"/>
      <c r="K445" s="2"/>
      <c r="L445" s="97"/>
    </row>
    <row r="446">
      <c r="E446" s="96"/>
      <c r="K446" s="2"/>
      <c r="L446" s="97"/>
    </row>
    <row r="447">
      <c r="E447" s="96"/>
      <c r="K447" s="2"/>
      <c r="L447" s="97"/>
    </row>
    <row r="448">
      <c r="E448" s="96"/>
      <c r="K448" s="2"/>
      <c r="L448" s="97"/>
    </row>
    <row r="449">
      <c r="E449" s="96"/>
      <c r="K449" s="2"/>
      <c r="L449" s="97"/>
    </row>
    <row r="450">
      <c r="E450" s="96"/>
      <c r="K450" s="2"/>
      <c r="L450" s="97"/>
    </row>
    <row r="451">
      <c r="E451" s="96"/>
      <c r="K451" s="2"/>
      <c r="L451" s="97"/>
    </row>
    <row r="452">
      <c r="E452" s="96"/>
      <c r="K452" s="2"/>
      <c r="L452" s="97"/>
    </row>
    <row r="453">
      <c r="E453" s="96"/>
      <c r="K453" s="2"/>
      <c r="L453" s="97"/>
    </row>
    <row r="454">
      <c r="E454" s="96"/>
      <c r="K454" s="2"/>
      <c r="L454" s="97"/>
    </row>
    <row r="455">
      <c r="E455" s="96"/>
      <c r="K455" s="2"/>
      <c r="L455" s="97"/>
    </row>
    <row r="456">
      <c r="E456" s="96"/>
      <c r="K456" s="2"/>
      <c r="L456" s="97"/>
    </row>
    <row r="457">
      <c r="E457" s="96"/>
      <c r="K457" s="2"/>
      <c r="L457" s="97"/>
    </row>
    <row r="458">
      <c r="E458" s="96"/>
      <c r="K458" s="2"/>
      <c r="L458" s="97"/>
    </row>
    <row r="459">
      <c r="E459" s="96"/>
      <c r="K459" s="2"/>
      <c r="L459" s="97"/>
    </row>
    <row r="460">
      <c r="E460" s="96"/>
      <c r="K460" s="2"/>
      <c r="L460" s="97"/>
    </row>
    <row r="461">
      <c r="E461" s="96"/>
      <c r="K461" s="2"/>
      <c r="L461" s="97"/>
    </row>
    <row r="462">
      <c r="E462" s="96"/>
      <c r="K462" s="2"/>
      <c r="L462" s="97"/>
    </row>
    <row r="463">
      <c r="E463" s="96"/>
      <c r="K463" s="2"/>
      <c r="L463" s="97"/>
    </row>
    <row r="464">
      <c r="E464" s="96"/>
      <c r="K464" s="2"/>
      <c r="L464" s="97"/>
    </row>
    <row r="465">
      <c r="E465" s="96"/>
      <c r="K465" s="2"/>
      <c r="L465" s="97"/>
    </row>
    <row r="466">
      <c r="E466" s="96"/>
      <c r="K466" s="2"/>
      <c r="L466" s="97"/>
    </row>
    <row r="467">
      <c r="E467" s="96"/>
      <c r="K467" s="2"/>
      <c r="L467" s="97"/>
    </row>
    <row r="468">
      <c r="E468" s="96"/>
      <c r="K468" s="2"/>
      <c r="L468" s="97"/>
    </row>
    <row r="469">
      <c r="E469" s="96"/>
      <c r="K469" s="2"/>
      <c r="L469" s="97"/>
    </row>
    <row r="470">
      <c r="E470" s="96"/>
      <c r="K470" s="2"/>
      <c r="L470" s="97"/>
    </row>
    <row r="471">
      <c r="E471" s="96"/>
      <c r="K471" s="2"/>
      <c r="L471" s="97"/>
    </row>
    <row r="472">
      <c r="E472" s="96"/>
      <c r="K472" s="2"/>
      <c r="L472" s="97"/>
    </row>
    <row r="473">
      <c r="E473" s="96"/>
      <c r="K473" s="2"/>
      <c r="L473" s="97"/>
    </row>
    <row r="474">
      <c r="E474" s="96"/>
      <c r="K474" s="2"/>
      <c r="L474" s="97"/>
    </row>
    <row r="475">
      <c r="E475" s="96"/>
      <c r="K475" s="2"/>
      <c r="L475" s="97"/>
    </row>
    <row r="476">
      <c r="E476" s="96"/>
      <c r="K476" s="2"/>
      <c r="L476" s="97"/>
    </row>
    <row r="477">
      <c r="E477" s="96"/>
      <c r="K477" s="2"/>
      <c r="L477" s="97"/>
    </row>
    <row r="478">
      <c r="E478" s="96"/>
      <c r="K478" s="2"/>
      <c r="L478" s="97"/>
    </row>
    <row r="479">
      <c r="E479" s="96"/>
      <c r="K479" s="2"/>
      <c r="L479" s="97"/>
    </row>
    <row r="480">
      <c r="E480" s="96"/>
      <c r="K480" s="2"/>
      <c r="L480" s="97"/>
    </row>
    <row r="481">
      <c r="E481" s="96"/>
      <c r="K481" s="2"/>
      <c r="L481" s="97"/>
    </row>
    <row r="482">
      <c r="E482" s="96"/>
      <c r="K482" s="2"/>
      <c r="L482" s="97"/>
    </row>
    <row r="483">
      <c r="E483" s="96"/>
      <c r="K483" s="2"/>
      <c r="L483" s="97"/>
    </row>
    <row r="484">
      <c r="E484" s="96"/>
      <c r="K484" s="2"/>
      <c r="L484" s="97"/>
    </row>
    <row r="485">
      <c r="E485" s="96"/>
      <c r="K485" s="2"/>
      <c r="L485" s="97"/>
    </row>
    <row r="486">
      <c r="E486" s="96"/>
      <c r="K486" s="2"/>
      <c r="L486" s="97"/>
    </row>
    <row r="487">
      <c r="E487" s="96"/>
      <c r="K487" s="2"/>
      <c r="L487" s="97"/>
    </row>
    <row r="488">
      <c r="E488" s="96"/>
      <c r="K488" s="2"/>
      <c r="L488" s="97"/>
    </row>
    <row r="489">
      <c r="E489" s="96"/>
      <c r="K489" s="2"/>
      <c r="L489" s="97"/>
    </row>
    <row r="490">
      <c r="E490" s="96"/>
      <c r="K490" s="2"/>
      <c r="L490" s="97"/>
    </row>
    <row r="491">
      <c r="E491" s="96"/>
      <c r="K491" s="2"/>
      <c r="L491" s="97"/>
    </row>
    <row r="492">
      <c r="E492" s="96"/>
      <c r="K492" s="2"/>
      <c r="L492" s="97"/>
    </row>
    <row r="493">
      <c r="E493" s="96"/>
      <c r="K493" s="2"/>
      <c r="L493" s="97"/>
    </row>
    <row r="494">
      <c r="E494" s="96"/>
      <c r="K494" s="2"/>
      <c r="L494" s="97"/>
    </row>
    <row r="495">
      <c r="E495" s="96"/>
      <c r="K495" s="2"/>
      <c r="L495" s="97"/>
    </row>
    <row r="496">
      <c r="E496" s="96"/>
      <c r="K496" s="2"/>
      <c r="L496" s="97"/>
    </row>
    <row r="497">
      <c r="E497" s="96"/>
      <c r="K497" s="2"/>
      <c r="L497" s="97"/>
    </row>
    <row r="498">
      <c r="E498" s="96"/>
      <c r="K498" s="2"/>
      <c r="L498" s="97"/>
    </row>
    <row r="499">
      <c r="E499" s="96"/>
      <c r="K499" s="2"/>
      <c r="L499" s="97"/>
    </row>
    <row r="500">
      <c r="E500" s="96"/>
      <c r="K500" s="2"/>
      <c r="L500" s="97"/>
    </row>
    <row r="501">
      <c r="E501" s="96"/>
      <c r="K501" s="2"/>
      <c r="L501" s="97"/>
    </row>
    <row r="502">
      <c r="E502" s="96"/>
      <c r="K502" s="2"/>
      <c r="L502" s="97"/>
    </row>
    <row r="503">
      <c r="E503" s="96"/>
      <c r="K503" s="2"/>
      <c r="L503" s="97"/>
    </row>
    <row r="504">
      <c r="E504" s="96"/>
      <c r="K504" s="2"/>
      <c r="L504" s="97"/>
    </row>
    <row r="505">
      <c r="E505" s="96"/>
      <c r="K505" s="2"/>
      <c r="L505" s="97"/>
    </row>
    <row r="506">
      <c r="E506" s="96"/>
      <c r="K506" s="2"/>
      <c r="L506" s="97"/>
    </row>
    <row r="507">
      <c r="E507" s="96"/>
      <c r="K507" s="2"/>
      <c r="L507" s="97"/>
    </row>
    <row r="508">
      <c r="E508" s="96"/>
      <c r="K508" s="2"/>
      <c r="L508" s="97"/>
    </row>
    <row r="509">
      <c r="E509" s="96"/>
      <c r="K509" s="2"/>
      <c r="L509" s="97"/>
    </row>
    <row r="510">
      <c r="E510" s="96"/>
      <c r="K510" s="2"/>
      <c r="L510" s="97"/>
    </row>
    <row r="511">
      <c r="E511" s="96"/>
      <c r="K511" s="2"/>
      <c r="L511" s="97"/>
    </row>
    <row r="512">
      <c r="E512" s="96"/>
      <c r="K512" s="2"/>
      <c r="L512" s="97"/>
    </row>
    <row r="513">
      <c r="E513" s="96"/>
      <c r="K513" s="2"/>
      <c r="L513" s="97"/>
    </row>
    <row r="514">
      <c r="E514" s="96"/>
      <c r="K514" s="2"/>
      <c r="L514" s="97"/>
    </row>
    <row r="515">
      <c r="E515" s="96"/>
      <c r="K515" s="2"/>
      <c r="L515" s="97"/>
    </row>
    <row r="516">
      <c r="E516" s="96"/>
      <c r="K516" s="2"/>
      <c r="L516" s="97"/>
    </row>
    <row r="517">
      <c r="E517" s="96"/>
      <c r="K517" s="2"/>
      <c r="L517" s="97"/>
    </row>
    <row r="518">
      <c r="E518" s="96"/>
      <c r="K518" s="2"/>
      <c r="L518" s="97"/>
    </row>
    <row r="519">
      <c r="E519" s="96"/>
      <c r="K519" s="2"/>
      <c r="L519" s="97"/>
    </row>
    <row r="520">
      <c r="E520" s="96"/>
      <c r="K520" s="2"/>
      <c r="L520" s="97"/>
    </row>
    <row r="521">
      <c r="E521" s="96"/>
      <c r="K521" s="2"/>
      <c r="L521" s="97"/>
    </row>
    <row r="522">
      <c r="E522" s="96"/>
      <c r="K522" s="2"/>
      <c r="L522" s="97"/>
    </row>
    <row r="523">
      <c r="E523" s="96"/>
      <c r="K523" s="2"/>
      <c r="L523" s="97"/>
    </row>
    <row r="524">
      <c r="E524" s="96"/>
      <c r="K524" s="2"/>
      <c r="L524" s="97"/>
    </row>
    <row r="525">
      <c r="E525" s="96"/>
      <c r="K525" s="2"/>
      <c r="L525" s="97"/>
    </row>
    <row r="526">
      <c r="E526" s="96"/>
      <c r="K526" s="2"/>
      <c r="L526" s="97"/>
    </row>
    <row r="527">
      <c r="E527" s="96"/>
      <c r="K527" s="2"/>
      <c r="L527" s="97"/>
    </row>
    <row r="528">
      <c r="E528" s="96"/>
      <c r="K528" s="2"/>
      <c r="L528" s="97"/>
    </row>
    <row r="529">
      <c r="E529" s="96"/>
      <c r="K529" s="2"/>
      <c r="L529" s="97"/>
    </row>
    <row r="530">
      <c r="E530" s="96"/>
      <c r="K530" s="2"/>
      <c r="L530" s="97"/>
    </row>
    <row r="531">
      <c r="E531" s="96"/>
      <c r="K531" s="2"/>
      <c r="L531" s="97"/>
    </row>
    <row r="532">
      <c r="E532" s="96"/>
      <c r="K532" s="2"/>
      <c r="L532" s="97"/>
    </row>
    <row r="533">
      <c r="E533" s="96"/>
      <c r="K533" s="2"/>
      <c r="L533" s="97"/>
    </row>
    <row r="534">
      <c r="E534" s="96"/>
      <c r="K534" s="2"/>
      <c r="L534" s="97"/>
    </row>
    <row r="535">
      <c r="E535" s="96"/>
      <c r="K535" s="2"/>
      <c r="L535" s="97"/>
    </row>
    <row r="536">
      <c r="E536" s="96"/>
      <c r="K536" s="2"/>
      <c r="L536" s="97"/>
    </row>
    <row r="537">
      <c r="E537" s="96"/>
      <c r="K537" s="2"/>
      <c r="L537" s="97"/>
    </row>
    <row r="538">
      <c r="E538" s="96"/>
      <c r="K538" s="2"/>
      <c r="L538" s="97"/>
    </row>
    <row r="539">
      <c r="E539" s="96"/>
      <c r="K539" s="2"/>
      <c r="L539" s="97"/>
    </row>
    <row r="540">
      <c r="E540" s="96"/>
      <c r="K540" s="2"/>
      <c r="L540" s="97"/>
    </row>
    <row r="541">
      <c r="E541" s="96"/>
      <c r="K541" s="2"/>
      <c r="L541" s="97"/>
    </row>
    <row r="542">
      <c r="E542" s="96"/>
      <c r="K542" s="2"/>
      <c r="L542" s="97"/>
    </row>
    <row r="543">
      <c r="E543" s="96"/>
      <c r="K543" s="2"/>
      <c r="L543" s="97"/>
    </row>
    <row r="544">
      <c r="E544" s="96"/>
      <c r="K544" s="2"/>
      <c r="L544" s="97"/>
    </row>
    <row r="545">
      <c r="E545" s="96"/>
      <c r="K545" s="2"/>
      <c r="L545" s="97"/>
    </row>
    <row r="546">
      <c r="E546" s="96"/>
      <c r="K546" s="2"/>
      <c r="L546" s="97"/>
    </row>
    <row r="547">
      <c r="E547" s="96"/>
      <c r="K547" s="2"/>
      <c r="L547" s="97"/>
    </row>
    <row r="548">
      <c r="E548" s="96"/>
      <c r="K548" s="2"/>
      <c r="L548" s="97"/>
    </row>
    <row r="549">
      <c r="E549" s="96"/>
      <c r="K549" s="2"/>
      <c r="L549" s="97"/>
    </row>
    <row r="550">
      <c r="E550" s="96"/>
      <c r="K550" s="2"/>
      <c r="L550" s="97"/>
    </row>
    <row r="551">
      <c r="E551" s="96"/>
      <c r="K551" s="2"/>
      <c r="L551" s="97"/>
    </row>
    <row r="552">
      <c r="E552" s="96"/>
      <c r="K552" s="2"/>
      <c r="L552" s="97"/>
    </row>
    <row r="553">
      <c r="E553" s="96"/>
      <c r="K553" s="2"/>
      <c r="L553" s="97"/>
    </row>
    <row r="554">
      <c r="E554" s="96"/>
      <c r="K554" s="2"/>
      <c r="L554" s="97"/>
    </row>
    <row r="555">
      <c r="E555" s="96"/>
      <c r="K555" s="2"/>
      <c r="L555" s="97"/>
    </row>
    <row r="556">
      <c r="E556" s="96"/>
      <c r="K556" s="2"/>
      <c r="L556" s="97"/>
    </row>
    <row r="557">
      <c r="E557" s="96"/>
      <c r="K557" s="2"/>
      <c r="L557" s="97"/>
    </row>
    <row r="558">
      <c r="E558" s="96"/>
      <c r="K558" s="2"/>
      <c r="L558" s="97"/>
    </row>
    <row r="559">
      <c r="E559" s="96"/>
      <c r="K559" s="2"/>
      <c r="L559" s="97"/>
    </row>
    <row r="560">
      <c r="E560" s="96"/>
      <c r="K560" s="2"/>
      <c r="L560" s="97"/>
    </row>
    <row r="561">
      <c r="E561" s="96"/>
      <c r="K561" s="2"/>
      <c r="L561" s="97"/>
    </row>
    <row r="562">
      <c r="E562" s="96"/>
      <c r="K562" s="2"/>
      <c r="L562" s="97"/>
    </row>
    <row r="563">
      <c r="E563" s="96"/>
      <c r="K563" s="2"/>
      <c r="L563" s="97"/>
    </row>
    <row r="564">
      <c r="E564" s="96"/>
      <c r="K564" s="2"/>
      <c r="L564" s="97"/>
    </row>
    <row r="565">
      <c r="E565" s="96"/>
      <c r="K565" s="2"/>
      <c r="L565" s="97"/>
    </row>
    <row r="566">
      <c r="E566" s="96"/>
      <c r="K566" s="2"/>
      <c r="L566" s="97"/>
    </row>
    <row r="567">
      <c r="E567" s="96"/>
      <c r="K567" s="2"/>
      <c r="L567" s="97"/>
    </row>
    <row r="568">
      <c r="E568" s="96"/>
      <c r="K568" s="2"/>
      <c r="L568" s="97"/>
    </row>
    <row r="569">
      <c r="E569" s="96"/>
      <c r="K569" s="2"/>
      <c r="L569" s="97"/>
    </row>
    <row r="570">
      <c r="E570" s="96"/>
      <c r="K570" s="2"/>
      <c r="L570" s="97"/>
    </row>
    <row r="571">
      <c r="E571" s="96"/>
      <c r="K571" s="2"/>
      <c r="L571" s="97"/>
    </row>
    <row r="572">
      <c r="E572" s="96"/>
      <c r="K572" s="2"/>
      <c r="L572" s="97"/>
    </row>
    <row r="573">
      <c r="E573" s="96"/>
      <c r="K573" s="2"/>
      <c r="L573" s="97"/>
    </row>
    <row r="574">
      <c r="E574" s="96"/>
      <c r="K574" s="2"/>
      <c r="L574" s="97"/>
    </row>
    <row r="575">
      <c r="E575" s="96"/>
      <c r="K575" s="2"/>
      <c r="L575" s="97"/>
    </row>
    <row r="576">
      <c r="E576" s="96"/>
      <c r="K576" s="2"/>
      <c r="L576" s="97"/>
    </row>
    <row r="577">
      <c r="E577" s="96"/>
      <c r="K577" s="2"/>
      <c r="L577" s="97"/>
    </row>
    <row r="578">
      <c r="E578" s="96"/>
      <c r="K578" s="2"/>
      <c r="L578" s="97"/>
    </row>
    <row r="579">
      <c r="E579" s="96"/>
      <c r="K579" s="2"/>
      <c r="L579" s="97"/>
    </row>
    <row r="580">
      <c r="E580" s="96"/>
      <c r="K580" s="2"/>
      <c r="L580" s="97"/>
    </row>
    <row r="581">
      <c r="E581" s="96"/>
      <c r="K581" s="2"/>
      <c r="L581" s="97"/>
    </row>
    <row r="582">
      <c r="E582" s="96"/>
      <c r="K582" s="2"/>
      <c r="L582" s="97"/>
    </row>
    <row r="583">
      <c r="E583" s="96"/>
      <c r="K583" s="2"/>
      <c r="L583" s="97"/>
    </row>
    <row r="584">
      <c r="E584" s="96"/>
      <c r="K584" s="2"/>
      <c r="L584" s="97"/>
    </row>
    <row r="585">
      <c r="E585" s="96"/>
      <c r="K585" s="2"/>
      <c r="L585" s="97"/>
    </row>
    <row r="586">
      <c r="E586" s="96"/>
      <c r="K586" s="2"/>
      <c r="L586" s="97"/>
    </row>
    <row r="587">
      <c r="E587" s="96"/>
      <c r="K587" s="2"/>
      <c r="L587" s="97"/>
    </row>
    <row r="588">
      <c r="E588" s="96"/>
      <c r="K588" s="2"/>
      <c r="L588" s="97"/>
    </row>
    <row r="589">
      <c r="E589" s="96"/>
      <c r="K589" s="2"/>
      <c r="L589" s="97"/>
    </row>
    <row r="590">
      <c r="E590" s="96"/>
      <c r="K590" s="2"/>
      <c r="L590" s="97"/>
    </row>
    <row r="591">
      <c r="E591" s="96"/>
      <c r="K591" s="2"/>
      <c r="L591" s="97"/>
    </row>
    <row r="592">
      <c r="E592" s="96"/>
      <c r="K592" s="2"/>
      <c r="L592" s="97"/>
    </row>
    <row r="593">
      <c r="E593" s="96"/>
      <c r="K593" s="2"/>
      <c r="L593" s="97"/>
    </row>
    <row r="594">
      <c r="E594" s="96"/>
      <c r="K594" s="2"/>
      <c r="L594" s="97"/>
    </row>
    <row r="595">
      <c r="E595" s="96"/>
      <c r="K595" s="2"/>
      <c r="L595" s="97"/>
    </row>
    <row r="596">
      <c r="E596" s="96"/>
      <c r="K596" s="2"/>
      <c r="L596" s="97"/>
    </row>
    <row r="597">
      <c r="E597" s="96"/>
      <c r="K597" s="2"/>
      <c r="L597" s="97"/>
    </row>
    <row r="598">
      <c r="E598" s="96"/>
      <c r="K598" s="2"/>
      <c r="L598" s="97"/>
    </row>
    <row r="599">
      <c r="E599" s="96"/>
      <c r="K599" s="2"/>
      <c r="L599" s="97"/>
    </row>
    <row r="600">
      <c r="E600" s="96"/>
      <c r="K600" s="2"/>
      <c r="L600" s="97"/>
    </row>
    <row r="601">
      <c r="E601" s="96"/>
      <c r="K601" s="2"/>
      <c r="L601" s="97"/>
    </row>
    <row r="602">
      <c r="E602" s="96"/>
      <c r="K602" s="2"/>
      <c r="L602" s="97"/>
    </row>
    <row r="603">
      <c r="E603" s="96"/>
      <c r="K603" s="2"/>
      <c r="L603" s="97"/>
    </row>
    <row r="604">
      <c r="E604" s="96"/>
      <c r="K604" s="2"/>
      <c r="L604" s="97"/>
    </row>
    <row r="605">
      <c r="E605" s="96"/>
      <c r="K605" s="2"/>
      <c r="L605" s="97"/>
    </row>
    <row r="606">
      <c r="E606" s="96"/>
      <c r="K606" s="2"/>
      <c r="L606" s="97"/>
    </row>
    <row r="607">
      <c r="E607" s="96"/>
      <c r="K607" s="2"/>
      <c r="L607" s="97"/>
    </row>
    <row r="608">
      <c r="E608" s="96"/>
      <c r="K608" s="2"/>
      <c r="L608" s="97"/>
    </row>
    <row r="609">
      <c r="E609" s="96"/>
      <c r="K609" s="2"/>
      <c r="L609" s="97"/>
    </row>
    <row r="610">
      <c r="E610" s="96"/>
      <c r="K610" s="2"/>
      <c r="L610" s="97"/>
    </row>
    <row r="611">
      <c r="E611" s="96"/>
      <c r="K611" s="2"/>
      <c r="L611" s="97"/>
    </row>
    <row r="612">
      <c r="E612" s="96"/>
      <c r="K612" s="2"/>
      <c r="L612" s="97"/>
    </row>
    <row r="613">
      <c r="E613" s="96"/>
      <c r="K613" s="2"/>
      <c r="L613" s="97"/>
    </row>
    <row r="614">
      <c r="E614" s="96"/>
      <c r="K614" s="2"/>
      <c r="L614" s="97"/>
    </row>
    <row r="615">
      <c r="E615" s="96"/>
      <c r="K615" s="2"/>
      <c r="L615" s="97"/>
    </row>
    <row r="616">
      <c r="E616" s="96"/>
      <c r="K616" s="2"/>
      <c r="L616" s="97"/>
    </row>
    <row r="617">
      <c r="E617" s="96"/>
      <c r="K617" s="2"/>
      <c r="L617" s="97"/>
    </row>
    <row r="618">
      <c r="E618" s="96"/>
      <c r="K618" s="2"/>
      <c r="L618" s="97"/>
    </row>
    <row r="619">
      <c r="E619" s="96"/>
      <c r="K619" s="2"/>
      <c r="L619" s="97"/>
    </row>
    <row r="620">
      <c r="E620" s="96"/>
      <c r="K620" s="2"/>
      <c r="L620" s="97"/>
    </row>
    <row r="621">
      <c r="E621" s="96"/>
      <c r="K621" s="2"/>
      <c r="L621" s="97"/>
    </row>
    <row r="622">
      <c r="E622" s="96"/>
      <c r="K622" s="2"/>
      <c r="L622" s="97"/>
    </row>
    <row r="623">
      <c r="E623" s="96"/>
      <c r="K623" s="2"/>
      <c r="L623" s="97"/>
    </row>
    <row r="624">
      <c r="E624" s="96"/>
      <c r="K624" s="2"/>
      <c r="L624" s="97"/>
    </row>
    <row r="625">
      <c r="E625" s="96"/>
      <c r="K625" s="2"/>
      <c r="L625" s="97"/>
    </row>
    <row r="626">
      <c r="E626" s="96"/>
      <c r="K626" s="2"/>
      <c r="L626" s="97"/>
    </row>
    <row r="627">
      <c r="E627" s="96"/>
      <c r="K627" s="2"/>
      <c r="L627" s="97"/>
    </row>
    <row r="628">
      <c r="E628" s="96"/>
      <c r="K628" s="2"/>
      <c r="L628" s="97"/>
    </row>
    <row r="629">
      <c r="E629" s="96"/>
      <c r="K629" s="2"/>
      <c r="L629" s="97"/>
    </row>
    <row r="630">
      <c r="E630" s="96"/>
      <c r="K630" s="2"/>
      <c r="L630" s="97"/>
    </row>
    <row r="631">
      <c r="E631" s="96"/>
      <c r="K631" s="2"/>
      <c r="L631" s="97"/>
    </row>
    <row r="632">
      <c r="E632" s="96"/>
      <c r="K632" s="2"/>
      <c r="L632" s="97"/>
    </row>
    <row r="633">
      <c r="E633" s="96"/>
      <c r="K633" s="2"/>
      <c r="L633" s="97"/>
    </row>
    <row r="634">
      <c r="E634" s="96"/>
      <c r="K634" s="2"/>
      <c r="L634" s="97"/>
    </row>
    <row r="635">
      <c r="E635" s="96"/>
      <c r="K635" s="2"/>
      <c r="L635" s="97"/>
    </row>
    <row r="636">
      <c r="E636" s="96"/>
      <c r="K636" s="2"/>
      <c r="L636" s="97"/>
    </row>
    <row r="637">
      <c r="E637" s="96"/>
      <c r="K637" s="2"/>
      <c r="L637" s="97"/>
    </row>
    <row r="638">
      <c r="E638" s="96"/>
      <c r="K638" s="2"/>
      <c r="L638" s="97"/>
    </row>
    <row r="639">
      <c r="E639" s="96"/>
      <c r="K639" s="2"/>
      <c r="L639" s="97"/>
    </row>
    <row r="640">
      <c r="E640" s="96"/>
      <c r="K640" s="2"/>
      <c r="L640" s="97"/>
    </row>
    <row r="641">
      <c r="E641" s="96"/>
      <c r="K641" s="2"/>
      <c r="L641" s="97"/>
    </row>
    <row r="642">
      <c r="E642" s="96"/>
      <c r="K642" s="2"/>
      <c r="L642" s="97"/>
    </row>
    <row r="643">
      <c r="E643" s="96"/>
      <c r="K643" s="2"/>
      <c r="L643" s="97"/>
    </row>
    <row r="644">
      <c r="E644" s="96"/>
      <c r="K644" s="2"/>
      <c r="L644" s="97"/>
    </row>
    <row r="645">
      <c r="E645" s="96"/>
      <c r="K645" s="2"/>
      <c r="L645" s="97"/>
    </row>
    <row r="646">
      <c r="E646" s="96"/>
      <c r="K646" s="2"/>
      <c r="L646" s="97"/>
    </row>
    <row r="647">
      <c r="E647" s="96"/>
      <c r="K647" s="2"/>
      <c r="L647" s="97"/>
    </row>
    <row r="648">
      <c r="E648" s="96"/>
      <c r="K648" s="2"/>
      <c r="L648" s="97"/>
    </row>
    <row r="649">
      <c r="E649" s="96"/>
      <c r="K649" s="2"/>
      <c r="L649" s="97"/>
    </row>
    <row r="650">
      <c r="E650" s="96"/>
      <c r="K650" s="2"/>
      <c r="L650" s="97"/>
    </row>
    <row r="651">
      <c r="E651" s="96"/>
      <c r="K651" s="2"/>
      <c r="L651" s="97"/>
    </row>
    <row r="652">
      <c r="E652" s="96"/>
      <c r="K652" s="2"/>
      <c r="L652" s="97"/>
    </row>
    <row r="653">
      <c r="E653" s="96"/>
      <c r="K653" s="2"/>
      <c r="L653" s="97"/>
    </row>
    <row r="654">
      <c r="E654" s="96"/>
      <c r="K654" s="2"/>
      <c r="L654" s="97"/>
    </row>
    <row r="655">
      <c r="E655" s="96"/>
      <c r="K655" s="2"/>
      <c r="L655" s="97"/>
    </row>
    <row r="656">
      <c r="E656" s="96"/>
      <c r="K656" s="2"/>
      <c r="L656" s="97"/>
    </row>
    <row r="657">
      <c r="E657" s="96"/>
      <c r="K657" s="2"/>
      <c r="L657" s="97"/>
    </row>
    <row r="658">
      <c r="E658" s="96"/>
      <c r="K658" s="2"/>
      <c r="L658" s="97"/>
    </row>
    <row r="659">
      <c r="E659" s="96"/>
      <c r="K659" s="2"/>
      <c r="L659" s="97"/>
    </row>
    <row r="660">
      <c r="E660" s="96"/>
      <c r="K660" s="2"/>
      <c r="L660" s="97"/>
    </row>
    <row r="661">
      <c r="E661" s="96"/>
      <c r="K661" s="2"/>
      <c r="L661" s="97"/>
    </row>
    <row r="662">
      <c r="E662" s="96"/>
      <c r="K662" s="2"/>
      <c r="L662" s="97"/>
    </row>
    <row r="663">
      <c r="E663" s="96"/>
      <c r="K663" s="2"/>
      <c r="L663" s="97"/>
    </row>
    <row r="664">
      <c r="E664" s="96"/>
      <c r="K664" s="2"/>
      <c r="L664" s="97"/>
    </row>
    <row r="665">
      <c r="E665" s="96"/>
      <c r="K665" s="2"/>
      <c r="L665" s="97"/>
    </row>
    <row r="666">
      <c r="E666" s="96"/>
      <c r="K666" s="2"/>
      <c r="L666" s="97"/>
    </row>
    <row r="667">
      <c r="E667" s="96"/>
      <c r="K667" s="2"/>
      <c r="L667" s="97"/>
    </row>
    <row r="668">
      <c r="E668" s="96"/>
      <c r="K668" s="2"/>
      <c r="L668" s="97"/>
    </row>
    <row r="669">
      <c r="E669" s="96"/>
      <c r="K669" s="2"/>
      <c r="L669" s="97"/>
    </row>
    <row r="670">
      <c r="E670" s="96"/>
      <c r="K670" s="2"/>
      <c r="L670" s="97"/>
    </row>
    <row r="671">
      <c r="E671" s="96"/>
      <c r="K671" s="2"/>
      <c r="L671" s="97"/>
    </row>
    <row r="672">
      <c r="E672" s="96"/>
      <c r="K672" s="2"/>
      <c r="L672" s="97"/>
    </row>
    <row r="673">
      <c r="E673" s="96"/>
      <c r="K673" s="2"/>
      <c r="L673" s="97"/>
    </row>
    <row r="674">
      <c r="E674" s="96"/>
      <c r="K674" s="2"/>
      <c r="L674" s="97"/>
    </row>
    <row r="675">
      <c r="E675" s="96"/>
      <c r="K675" s="2"/>
      <c r="L675" s="97"/>
    </row>
    <row r="676">
      <c r="E676" s="96"/>
      <c r="K676" s="2"/>
      <c r="L676" s="97"/>
    </row>
    <row r="677">
      <c r="E677" s="96"/>
      <c r="K677" s="2"/>
      <c r="L677" s="97"/>
    </row>
    <row r="678">
      <c r="E678" s="96"/>
      <c r="K678" s="2"/>
      <c r="L678" s="97"/>
    </row>
    <row r="679">
      <c r="E679" s="96"/>
      <c r="K679" s="2"/>
      <c r="L679" s="97"/>
    </row>
    <row r="680">
      <c r="E680" s="96"/>
      <c r="K680" s="2"/>
      <c r="L680" s="97"/>
    </row>
    <row r="681">
      <c r="E681" s="96"/>
      <c r="K681" s="2"/>
      <c r="L681" s="97"/>
    </row>
    <row r="682">
      <c r="E682" s="96"/>
      <c r="K682" s="2"/>
      <c r="L682" s="97"/>
    </row>
    <row r="683">
      <c r="E683" s="96"/>
      <c r="K683" s="2"/>
      <c r="L683" s="97"/>
    </row>
    <row r="684">
      <c r="E684" s="96"/>
      <c r="K684" s="2"/>
      <c r="L684" s="97"/>
    </row>
    <row r="685">
      <c r="E685" s="96"/>
      <c r="K685" s="2"/>
      <c r="L685" s="97"/>
    </row>
    <row r="686">
      <c r="E686" s="96"/>
      <c r="K686" s="2"/>
      <c r="L686" s="97"/>
    </row>
    <row r="687">
      <c r="E687" s="96"/>
      <c r="K687" s="2"/>
      <c r="L687" s="97"/>
    </row>
    <row r="688">
      <c r="E688" s="96"/>
      <c r="K688" s="2"/>
      <c r="L688" s="97"/>
    </row>
    <row r="689">
      <c r="E689" s="96"/>
      <c r="K689" s="2"/>
      <c r="L689" s="97"/>
    </row>
    <row r="690">
      <c r="E690" s="96"/>
      <c r="K690" s="2"/>
      <c r="L690" s="97"/>
    </row>
    <row r="691">
      <c r="E691" s="96"/>
      <c r="K691" s="2"/>
      <c r="L691" s="97"/>
    </row>
    <row r="692">
      <c r="E692" s="96"/>
      <c r="K692" s="2"/>
      <c r="L692" s="97"/>
    </row>
    <row r="693">
      <c r="E693" s="96"/>
      <c r="K693" s="2"/>
      <c r="L693" s="97"/>
    </row>
    <row r="694">
      <c r="E694" s="96"/>
      <c r="K694" s="2"/>
      <c r="L694" s="97"/>
    </row>
    <row r="695">
      <c r="E695" s="96"/>
      <c r="K695" s="2"/>
      <c r="L695" s="97"/>
    </row>
    <row r="696">
      <c r="E696" s="96"/>
      <c r="K696" s="2"/>
      <c r="L696" s="97"/>
    </row>
    <row r="697">
      <c r="E697" s="96"/>
      <c r="K697" s="2"/>
      <c r="L697" s="97"/>
    </row>
    <row r="698">
      <c r="E698" s="96"/>
      <c r="K698" s="2"/>
      <c r="L698" s="97"/>
    </row>
    <row r="699">
      <c r="E699" s="96"/>
      <c r="K699" s="2"/>
      <c r="L699" s="97"/>
    </row>
    <row r="700">
      <c r="E700" s="96"/>
      <c r="K700" s="2"/>
      <c r="L700" s="97"/>
    </row>
    <row r="701">
      <c r="E701" s="96"/>
      <c r="K701" s="2"/>
      <c r="L701" s="97"/>
    </row>
    <row r="702">
      <c r="E702" s="96"/>
      <c r="K702" s="2"/>
      <c r="L702" s="97"/>
    </row>
    <row r="703">
      <c r="E703" s="96"/>
      <c r="K703" s="2"/>
      <c r="L703" s="97"/>
    </row>
    <row r="704">
      <c r="E704" s="96"/>
      <c r="K704" s="2"/>
      <c r="L704" s="97"/>
    </row>
    <row r="705">
      <c r="E705" s="96"/>
      <c r="K705" s="2"/>
      <c r="L705" s="97"/>
    </row>
    <row r="706">
      <c r="E706" s="96"/>
      <c r="K706" s="2"/>
      <c r="L706" s="97"/>
    </row>
    <row r="707">
      <c r="E707" s="96"/>
      <c r="K707" s="2"/>
      <c r="L707" s="97"/>
    </row>
    <row r="708">
      <c r="E708" s="96"/>
      <c r="K708" s="2"/>
      <c r="L708" s="97"/>
    </row>
    <row r="709">
      <c r="E709" s="96"/>
      <c r="K709" s="2"/>
      <c r="L709" s="97"/>
    </row>
    <row r="710">
      <c r="E710" s="96"/>
      <c r="K710" s="2"/>
      <c r="L710" s="97"/>
    </row>
    <row r="711">
      <c r="E711" s="96"/>
      <c r="K711" s="2"/>
      <c r="L711" s="97"/>
    </row>
    <row r="712">
      <c r="E712" s="96"/>
      <c r="K712" s="2"/>
      <c r="L712" s="97"/>
    </row>
    <row r="713">
      <c r="E713" s="96"/>
      <c r="K713" s="2"/>
      <c r="L713" s="97"/>
    </row>
    <row r="714">
      <c r="E714" s="96"/>
      <c r="K714" s="2"/>
      <c r="L714" s="97"/>
    </row>
    <row r="715">
      <c r="E715" s="96"/>
      <c r="K715" s="2"/>
      <c r="L715" s="97"/>
    </row>
    <row r="716">
      <c r="E716" s="96"/>
      <c r="K716" s="2"/>
      <c r="L716" s="97"/>
    </row>
    <row r="717">
      <c r="E717" s="96"/>
      <c r="K717" s="2"/>
      <c r="L717" s="97"/>
    </row>
    <row r="718">
      <c r="E718" s="96"/>
      <c r="K718" s="2"/>
      <c r="L718" s="97"/>
    </row>
    <row r="719">
      <c r="E719" s="96"/>
      <c r="K719" s="2"/>
      <c r="L719" s="97"/>
    </row>
    <row r="720">
      <c r="E720" s="96"/>
      <c r="K720" s="2"/>
      <c r="L720" s="97"/>
    </row>
    <row r="721">
      <c r="E721" s="96"/>
      <c r="K721" s="2"/>
      <c r="L721" s="97"/>
    </row>
    <row r="722">
      <c r="E722" s="96"/>
      <c r="K722" s="2"/>
      <c r="L722" s="97"/>
    </row>
    <row r="723">
      <c r="E723" s="96"/>
      <c r="K723" s="2"/>
      <c r="L723" s="97"/>
    </row>
    <row r="724">
      <c r="E724" s="96"/>
      <c r="K724" s="2"/>
      <c r="L724" s="97"/>
    </row>
    <row r="725">
      <c r="E725" s="96"/>
      <c r="K725" s="2"/>
      <c r="L725" s="97"/>
    </row>
    <row r="726">
      <c r="E726" s="96"/>
      <c r="K726" s="2"/>
      <c r="L726" s="97"/>
    </row>
    <row r="727">
      <c r="E727" s="96"/>
      <c r="K727" s="2"/>
      <c r="L727" s="97"/>
    </row>
    <row r="728">
      <c r="E728" s="96"/>
      <c r="K728" s="2"/>
      <c r="L728" s="97"/>
    </row>
    <row r="729">
      <c r="E729" s="96"/>
      <c r="K729" s="2"/>
      <c r="L729" s="97"/>
    </row>
    <row r="730">
      <c r="E730" s="96"/>
      <c r="K730" s="2"/>
      <c r="L730" s="97"/>
    </row>
    <row r="731">
      <c r="E731" s="96"/>
      <c r="K731" s="2"/>
      <c r="L731" s="97"/>
    </row>
    <row r="732">
      <c r="E732" s="96"/>
      <c r="K732" s="2"/>
      <c r="L732" s="97"/>
    </row>
    <row r="733">
      <c r="E733" s="96"/>
      <c r="K733" s="2"/>
      <c r="L733" s="97"/>
    </row>
    <row r="734">
      <c r="E734" s="96"/>
      <c r="K734" s="2"/>
      <c r="L734" s="97"/>
    </row>
    <row r="735">
      <c r="E735" s="96"/>
      <c r="K735" s="2"/>
      <c r="L735" s="97"/>
    </row>
    <row r="736">
      <c r="E736" s="96"/>
      <c r="K736" s="2"/>
      <c r="L736" s="97"/>
    </row>
    <row r="737">
      <c r="E737" s="96"/>
      <c r="K737" s="2"/>
      <c r="L737" s="97"/>
    </row>
    <row r="738">
      <c r="E738" s="96"/>
      <c r="K738" s="2"/>
      <c r="L738" s="97"/>
    </row>
    <row r="739">
      <c r="E739" s="96"/>
      <c r="K739" s="2"/>
      <c r="L739" s="97"/>
    </row>
    <row r="740">
      <c r="E740" s="96"/>
      <c r="K740" s="2"/>
      <c r="L740" s="97"/>
    </row>
    <row r="741">
      <c r="E741" s="96"/>
      <c r="K741" s="2"/>
      <c r="L741" s="97"/>
    </row>
    <row r="742">
      <c r="E742" s="96"/>
      <c r="K742" s="2"/>
      <c r="L742" s="97"/>
    </row>
    <row r="743">
      <c r="E743" s="96"/>
      <c r="K743" s="2"/>
      <c r="L743" s="97"/>
    </row>
    <row r="744">
      <c r="E744" s="96"/>
      <c r="K744" s="2"/>
      <c r="L744" s="97"/>
    </row>
    <row r="745">
      <c r="E745" s="96"/>
      <c r="K745" s="2"/>
      <c r="L745" s="97"/>
    </row>
    <row r="746">
      <c r="E746" s="96"/>
      <c r="K746" s="2"/>
      <c r="L746" s="97"/>
    </row>
    <row r="747">
      <c r="E747" s="96"/>
      <c r="K747" s="2"/>
      <c r="L747" s="97"/>
    </row>
    <row r="748">
      <c r="E748" s="96"/>
      <c r="K748" s="2"/>
      <c r="L748" s="97"/>
    </row>
    <row r="749">
      <c r="E749" s="96"/>
      <c r="K749" s="2"/>
      <c r="L749" s="97"/>
    </row>
    <row r="750">
      <c r="E750" s="96"/>
      <c r="K750" s="2"/>
      <c r="L750" s="97"/>
    </row>
    <row r="751">
      <c r="E751" s="96"/>
      <c r="K751" s="2"/>
      <c r="L751" s="97"/>
    </row>
    <row r="752">
      <c r="E752" s="96"/>
      <c r="K752" s="2"/>
      <c r="L752" s="97"/>
    </row>
    <row r="753">
      <c r="E753" s="96"/>
      <c r="K753" s="2"/>
      <c r="L753" s="97"/>
    </row>
    <row r="754">
      <c r="E754" s="96"/>
      <c r="K754" s="2"/>
      <c r="L754" s="97"/>
    </row>
    <row r="755">
      <c r="E755" s="96"/>
      <c r="K755" s="2"/>
      <c r="L755" s="97"/>
    </row>
    <row r="756">
      <c r="E756" s="96"/>
      <c r="K756" s="2"/>
      <c r="L756" s="97"/>
    </row>
    <row r="757">
      <c r="E757" s="96"/>
      <c r="K757" s="2"/>
      <c r="L757" s="97"/>
    </row>
    <row r="758">
      <c r="E758" s="96"/>
      <c r="K758" s="2"/>
      <c r="L758" s="97"/>
    </row>
    <row r="759">
      <c r="E759" s="96"/>
      <c r="K759" s="2"/>
      <c r="L759" s="97"/>
    </row>
    <row r="760">
      <c r="E760" s="96"/>
      <c r="K760" s="2"/>
      <c r="L760" s="97"/>
    </row>
    <row r="761">
      <c r="E761" s="96"/>
      <c r="K761" s="2"/>
      <c r="L761" s="97"/>
    </row>
    <row r="762">
      <c r="E762" s="96"/>
      <c r="K762" s="2"/>
      <c r="L762" s="97"/>
    </row>
    <row r="763">
      <c r="E763" s="96"/>
      <c r="K763" s="2"/>
      <c r="L763" s="97"/>
    </row>
    <row r="764">
      <c r="E764" s="96"/>
      <c r="K764" s="2"/>
      <c r="L764" s="97"/>
    </row>
    <row r="765">
      <c r="E765" s="96"/>
      <c r="K765" s="2"/>
      <c r="L765" s="97"/>
    </row>
    <row r="766">
      <c r="E766" s="96"/>
      <c r="K766" s="2"/>
      <c r="L766" s="97"/>
    </row>
    <row r="767">
      <c r="E767" s="96"/>
      <c r="K767" s="2"/>
      <c r="L767" s="97"/>
    </row>
    <row r="768">
      <c r="E768" s="96"/>
      <c r="K768" s="2"/>
      <c r="L768" s="97"/>
    </row>
    <row r="769">
      <c r="E769" s="96"/>
      <c r="K769" s="2"/>
      <c r="L769" s="97"/>
    </row>
    <row r="770">
      <c r="E770" s="96"/>
      <c r="K770" s="2"/>
      <c r="L770" s="97"/>
    </row>
    <row r="771">
      <c r="E771" s="96"/>
      <c r="K771" s="2"/>
      <c r="L771" s="97"/>
    </row>
    <row r="772">
      <c r="E772" s="96"/>
      <c r="K772" s="2"/>
      <c r="L772" s="97"/>
    </row>
    <row r="773">
      <c r="E773" s="96"/>
      <c r="K773" s="2"/>
      <c r="L773" s="97"/>
    </row>
    <row r="774">
      <c r="E774" s="96"/>
      <c r="K774" s="2"/>
      <c r="L774" s="97"/>
    </row>
    <row r="775">
      <c r="E775" s="96"/>
      <c r="K775" s="2"/>
      <c r="L775" s="97"/>
    </row>
    <row r="776">
      <c r="E776" s="96"/>
      <c r="K776" s="2"/>
      <c r="L776" s="97"/>
    </row>
  </sheetData>
  <mergeCells count="777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70:C770"/>
    <mergeCell ref="B771:C771"/>
    <mergeCell ref="B772:C772"/>
    <mergeCell ref="B773:C773"/>
    <mergeCell ref="B774:C774"/>
    <mergeCell ref="B775:C775"/>
    <mergeCell ref="B776:C776"/>
    <mergeCell ref="B763:C763"/>
    <mergeCell ref="B764:C764"/>
    <mergeCell ref="B765:C765"/>
    <mergeCell ref="B766:C766"/>
    <mergeCell ref="B767:C767"/>
    <mergeCell ref="B768:C768"/>
    <mergeCell ref="B769:C769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">
      <formula1>Data!$D$1:$D$1000</formula1>
    </dataValidation>
    <dataValidation type="custom" allowBlank="1" showDropDown="1" showErrorMessage="1" sqref="AB1:AC1 K4:L776">
      <formula1>OR(NOT(ISERROR(DATEVALUE(K1))), AND(ISNUMBER(K1), LEFT(CELL("format", K1))="D"))</formula1>
    </dataValidation>
  </dataValidations>
  <drawing r:id="rId1"/>
</worksheet>
</file>